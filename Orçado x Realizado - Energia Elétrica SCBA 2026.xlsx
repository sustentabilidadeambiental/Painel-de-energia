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X:\Meio Ambiente e Utilidades\02 - Utilidades\01 - Ativo\10. Orçamento Utilidades - Provisionado x Realizado\2026\"/>
    </mc:Choice>
  </mc:AlternateContent>
  <xr:revisionPtr revIDLastSave="0" documentId="13_ncr:1_{1FC5CBA5-B6C6-4B6F-A355-B47098CBFCC4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esumo" sheetId="1" r:id="rId1"/>
    <sheet name="HSI" sheetId="2" r:id="rId2"/>
    <sheet name="Pupileira" sheetId="3" r:id="rId3"/>
    <sheet name="Anexo HSI" sheetId="4" r:id="rId4"/>
    <sheet name="HMS" sheetId="5" r:id="rId5"/>
    <sheet name="Curativos Especiais" sheetId="6" r:id="rId6"/>
    <sheet name="Casa de Apoio Solange Fraga" sheetId="7" r:id="rId7"/>
    <sheet name="Infanto Juvenil" sheetId="8" r:id="rId8"/>
    <sheet name="Casa Lad.7" sheetId="9" r:id="rId9"/>
    <sheet name="Clínica Rio Vermelho" sheetId="10" r:id="rId10"/>
    <sheet name="Clínica Ondina" sheetId="11" r:id="rId11"/>
    <sheet name="CCS 01" sheetId="12" r:id="rId12"/>
    <sheet name="CCS 02" sheetId="13" r:id="rId13"/>
    <sheet name="Museu da Misericórdia" sheetId="14" r:id="rId14"/>
    <sheet name="Cuidado Continuo" sheetId="15" r:id="rId15"/>
    <sheet name="Posto de Coleta" sheetId="16" r:id="rId16"/>
    <sheet name="CAF" sheetId="17" r:id="rId17"/>
    <sheet name="CAL" sheetId="18" r:id="rId18"/>
    <sheet name="Casa Azul" sheetId="19" r:id="rId19"/>
    <sheet name="CEI C.R" sheetId="20" r:id="rId20"/>
    <sheet name="CER II" sheetId="21" r:id="rId21"/>
    <sheet name="CEI S.A" sheetId="22" r:id="rId22"/>
    <sheet name="CEI S.F" sheetId="23" r:id="rId23"/>
    <sheet name="CEI S.G" sheetId="24" r:id="rId24"/>
    <sheet name="AVANÇAR" sheetId="25" r:id="rId25"/>
    <sheet name="CEI C.M" sheetId="26" r:id="rId26"/>
  </sheets>
  <externalReferences>
    <externalReference r:id="rId27"/>
  </externalReferences>
  <definedNames>
    <definedName name="solver_adj" localSheetId="0" hidden="1">Resumo!$D$22:$D$31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Resumo!$D$22:$D$31</definedName>
    <definedName name="solver_lhs2" localSheetId="0" hidden="1">Resumo!#REF!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Resumo!#REF!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4" l="1"/>
  <c r="U20" i="23"/>
  <c r="U20" i="20"/>
  <c r="U21" i="2"/>
  <c r="U22" i="2"/>
  <c r="U23" i="2"/>
  <c r="U20" i="2"/>
  <c r="I23" i="2"/>
  <c r="I24" i="2" s="1"/>
  <c r="I26" i="2" s="1"/>
  <c r="S21" i="26"/>
  <c r="S23" i="26" s="1"/>
  <c r="R21" i="26"/>
  <c r="R23" i="26" s="1"/>
  <c r="Q21" i="26"/>
  <c r="Q23" i="26" s="1"/>
  <c r="P21" i="26"/>
  <c r="O21" i="26"/>
  <c r="N21" i="26"/>
  <c r="N23" i="26" s="1"/>
  <c r="M21" i="26"/>
  <c r="M23" i="26" s="1"/>
  <c r="L21" i="26"/>
  <c r="L23" i="26" s="1"/>
  <c r="K21" i="26"/>
  <c r="K23" i="26" s="1"/>
  <c r="J21" i="26"/>
  <c r="J23" i="26" s="1"/>
  <c r="I21" i="26"/>
  <c r="I23" i="26" s="1"/>
  <c r="H21" i="26"/>
  <c r="U20" i="26"/>
  <c r="U19" i="26"/>
  <c r="U21" i="26" s="1"/>
  <c r="U23" i="26" s="1"/>
  <c r="G19" i="26"/>
  <c r="D19" i="26"/>
  <c r="I16" i="26"/>
  <c r="H16" i="26"/>
  <c r="S12" i="26"/>
  <c r="R12" i="26"/>
  <c r="Q12" i="26"/>
  <c r="P12" i="26"/>
  <c r="O12" i="26"/>
  <c r="O23" i="26" s="1"/>
  <c r="N12" i="26"/>
  <c r="M12" i="26"/>
  <c r="L12" i="26"/>
  <c r="K12" i="26"/>
  <c r="J12" i="26"/>
  <c r="I12" i="26"/>
  <c r="H12" i="26"/>
  <c r="H23" i="26" s="1"/>
  <c r="U11" i="26"/>
  <c r="U10" i="26"/>
  <c r="U12" i="26" s="1"/>
  <c r="D46" i="1" s="1"/>
  <c r="G7" i="26"/>
  <c r="Q23" i="25"/>
  <c r="P23" i="25"/>
  <c r="I23" i="25"/>
  <c r="H23" i="25"/>
  <c r="S21" i="25"/>
  <c r="S23" i="25" s="1"/>
  <c r="R21" i="25"/>
  <c r="R23" i="25" s="1"/>
  <c r="Q21" i="25"/>
  <c r="P21" i="25"/>
  <c r="O21" i="25"/>
  <c r="N21" i="25"/>
  <c r="M21" i="25"/>
  <c r="M23" i="25" s="1"/>
  <c r="L21" i="25"/>
  <c r="L23" i="25" s="1"/>
  <c r="K21" i="25"/>
  <c r="K23" i="25" s="1"/>
  <c r="J21" i="25"/>
  <c r="J23" i="25" s="1"/>
  <c r="I21" i="25"/>
  <c r="H21" i="25"/>
  <c r="U20" i="25"/>
  <c r="U19" i="25"/>
  <c r="U21" i="25" s="1"/>
  <c r="G19" i="25"/>
  <c r="D19" i="25"/>
  <c r="S12" i="25"/>
  <c r="R12" i="25"/>
  <c r="Q12" i="25"/>
  <c r="P12" i="25"/>
  <c r="O12" i="25"/>
  <c r="O23" i="25" s="1"/>
  <c r="N12" i="25"/>
  <c r="N23" i="25" s="1"/>
  <c r="M12" i="25"/>
  <c r="L12" i="25"/>
  <c r="K12" i="25"/>
  <c r="J12" i="25"/>
  <c r="I12" i="25"/>
  <c r="H12" i="25"/>
  <c r="U11" i="25"/>
  <c r="U10" i="25"/>
  <c r="U12" i="25" s="1"/>
  <c r="D45" i="1" s="1"/>
  <c r="G7" i="25"/>
  <c r="O23" i="24"/>
  <c r="N23" i="24"/>
  <c r="S21" i="24"/>
  <c r="S23" i="24" s="1"/>
  <c r="R21" i="24"/>
  <c r="R23" i="24" s="1"/>
  <c r="Q21" i="24"/>
  <c r="Q23" i="24" s="1"/>
  <c r="P21" i="24"/>
  <c r="P23" i="24" s="1"/>
  <c r="O21" i="24"/>
  <c r="N21" i="24"/>
  <c r="M21" i="24"/>
  <c r="L21" i="24"/>
  <c r="K21" i="24"/>
  <c r="K23" i="24" s="1"/>
  <c r="J21" i="24"/>
  <c r="J23" i="24" s="1"/>
  <c r="I21" i="24"/>
  <c r="I23" i="24" s="1"/>
  <c r="H21" i="24"/>
  <c r="H23" i="24" s="1"/>
  <c r="U20" i="24"/>
  <c r="J19" i="24"/>
  <c r="U19" i="24" s="1"/>
  <c r="U21" i="24" s="1"/>
  <c r="U23" i="24" s="1"/>
  <c r="D19" i="24"/>
  <c r="G19" i="24" s="1"/>
  <c r="M16" i="24"/>
  <c r="L16" i="24"/>
  <c r="K16" i="24"/>
  <c r="J16" i="24"/>
  <c r="I16" i="24"/>
  <c r="H16" i="24"/>
  <c r="G16" i="24"/>
  <c r="U12" i="24"/>
  <c r="D44" i="1" s="1"/>
  <c r="S12" i="24"/>
  <c r="R12" i="24"/>
  <c r="Q12" i="24"/>
  <c r="P12" i="24"/>
  <c r="O12" i="24"/>
  <c r="N12" i="24"/>
  <c r="M12" i="24"/>
  <c r="M23" i="24" s="1"/>
  <c r="L12" i="24"/>
  <c r="K12" i="24"/>
  <c r="J12" i="24"/>
  <c r="I12" i="24"/>
  <c r="H12" i="24"/>
  <c r="U11" i="24"/>
  <c r="U10" i="24"/>
  <c r="G7" i="24"/>
  <c r="R23" i="23"/>
  <c r="J23" i="23"/>
  <c r="S21" i="23"/>
  <c r="R21" i="23"/>
  <c r="Q21" i="23"/>
  <c r="Q23" i="23" s="1"/>
  <c r="P21" i="23"/>
  <c r="P23" i="23" s="1"/>
  <c r="O21" i="23"/>
  <c r="O23" i="23" s="1"/>
  <c r="N21" i="23"/>
  <c r="N23" i="23" s="1"/>
  <c r="M21" i="23"/>
  <c r="L21" i="23"/>
  <c r="L23" i="23" s="1"/>
  <c r="K21" i="23"/>
  <c r="J21" i="23"/>
  <c r="I21" i="23"/>
  <c r="I23" i="23" s="1"/>
  <c r="H21" i="23"/>
  <c r="H23" i="23" s="1"/>
  <c r="U19" i="23"/>
  <c r="G19" i="23"/>
  <c r="D19" i="23"/>
  <c r="I16" i="23"/>
  <c r="H16" i="23"/>
  <c r="G16" i="23"/>
  <c r="S12" i="23"/>
  <c r="S23" i="23" s="1"/>
  <c r="R12" i="23"/>
  <c r="Q12" i="23"/>
  <c r="P12" i="23"/>
  <c r="O12" i="23"/>
  <c r="N12" i="23"/>
  <c r="M12" i="23"/>
  <c r="M23" i="23" s="1"/>
  <c r="L12" i="23"/>
  <c r="K12" i="23"/>
  <c r="K23" i="23" s="1"/>
  <c r="J12" i="23"/>
  <c r="I12" i="23"/>
  <c r="H12" i="23"/>
  <c r="U11" i="23"/>
  <c r="U10" i="23"/>
  <c r="U12" i="23" s="1"/>
  <c r="D43" i="1" s="1"/>
  <c r="G7" i="23"/>
  <c r="S23" i="22"/>
  <c r="N23" i="22"/>
  <c r="M23" i="22"/>
  <c r="S21" i="22"/>
  <c r="R21" i="22"/>
  <c r="R23" i="22" s="1"/>
  <c r="Q21" i="22"/>
  <c r="Q23" i="22" s="1"/>
  <c r="P21" i="22"/>
  <c r="P23" i="22" s="1"/>
  <c r="O21" i="22"/>
  <c r="O23" i="22" s="1"/>
  <c r="N21" i="22"/>
  <c r="M21" i="22"/>
  <c r="L21" i="22"/>
  <c r="K21" i="22"/>
  <c r="K23" i="22" s="1"/>
  <c r="J21" i="22"/>
  <c r="J23" i="22" s="1"/>
  <c r="I21" i="22"/>
  <c r="I23" i="22" s="1"/>
  <c r="H21" i="22"/>
  <c r="H23" i="22" s="1"/>
  <c r="U20" i="22"/>
  <c r="U19" i="22"/>
  <c r="D19" i="22"/>
  <c r="G19" i="22" s="1"/>
  <c r="G16" i="22"/>
  <c r="U12" i="22"/>
  <c r="D42" i="1" s="1"/>
  <c r="S12" i="22"/>
  <c r="R12" i="22"/>
  <c r="Q12" i="22"/>
  <c r="P12" i="22"/>
  <c r="O12" i="22"/>
  <c r="N12" i="22"/>
  <c r="M12" i="22"/>
  <c r="L12" i="22"/>
  <c r="L23" i="22" s="1"/>
  <c r="K12" i="22"/>
  <c r="J12" i="22"/>
  <c r="I12" i="22"/>
  <c r="H12" i="22"/>
  <c r="U11" i="22"/>
  <c r="U10" i="22"/>
  <c r="G7" i="22"/>
  <c r="S23" i="21"/>
  <c r="R23" i="21"/>
  <c r="M23" i="21"/>
  <c r="K23" i="21"/>
  <c r="J23" i="21"/>
  <c r="S21" i="21"/>
  <c r="R21" i="21"/>
  <c r="Q21" i="21"/>
  <c r="P21" i="21"/>
  <c r="P23" i="21" s="1"/>
  <c r="O21" i="21"/>
  <c r="O23" i="21" s="1"/>
  <c r="N21" i="21"/>
  <c r="N23" i="21" s="1"/>
  <c r="M21" i="21"/>
  <c r="L21" i="21"/>
  <c r="L23" i="21" s="1"/>
  <c r="K21" i="21"/>
  <c r="J21" i="21"/>
  <c r="I21" i="21"/>
  <c r="H21" i="21"/>
  <c r="H23" i="21" s="1"/>
  <c r="U20" i="21"/>
  <c r="J19" i="21"/>
  <c r="U19" i="21" s="1"/>
  <c r="D19" i="21"/>
  <c r="G19" i="21" s="1"/>
  <c r="M16" i="21"/>
  <c r="L16" i="21"/>
  <c r="K16" i="21"/>
  <c r="I16" i="21"/>
  <c r="H16" i="21"/>
  <c r="G16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U11" i="21"/>
  <c r="U10" i="21"/>
  <c r="U12" i="21" s="1"/>
  <c r="D41" i="1" s="1"/>
  <c r="G7" i="21"/>
  <c r="S21" i="20"/>
  <c r="S23" i="20" s="1"/>
  <c r="R21" i="20"/>
  <c r="Q21" i="20"/>
  <c r="P21" i="20"/>
  <c r="O21" i="20"/>
  <c r="N21" i="20"/>
  <c r="N23" i="20" s="1"/>
  <c r="M21" i="20"/>
  <c r="M23" i="20" s="1"/>
  <c r="K21" i="20"/>
  <c r="K23" i="20" s="1"/>
  <c r="J21" i="20"/>
  <c r="I21" i="20"/>
  <c r="H21" i="20"/>
  <c r="U19" i="20"/>
  <c r="D19" i="20"/>
  <c r="G19" i="20" s="1"/>
  <c r="I16" i="20"/>
  <c r="G16" i="20"/>
  <c r="S12" i="20"/>
  <c r="R12" i="20"/>
  <c r="R23" i="20" s="1"/>
  <c r="Q12" i="20"/>
  <c r="Q23" i="20" s="1"/>
  <c r="P12" i="20"/>
  <c r="P23" i="20" s="1"/>
  <c r="O12" i="20"/>
  <c r="O23" i="20" s="1"/>
  <c r="N12" i="20"/>
  <c r="M12" i="20"/>
  <c r="L12" i="20"/>
  <c r="K12" i="20"/>
  <c r="J12" i="20"/>
  <c r="J23" i="20" s="1"/>
  <c r="I12" i="20"/>
  <c r="I23" i="20" s="1"/>
  <c r="H12" i="20"/>
  <c r="H23" i="20" s="1"/>
  <c r="U11" i="20"/>
  <c r="U10" i="20"/>
  <c r="U12" i="20" s="1"/>
  <c r="G7" i="20"/>
  <c r="R23" i="19"/>
  <c r="Q23" i="19"/>
  <c r="J23" i="19"/>
  <c r="I23" i="19"/>
  <c r="S21" i="19"/>
  <c r="S23" i="19" s="1"/>
  <c r="R21" i="19"/>
  <c r="Q21" i="19"/>
  <c r="P21" i="19"/>
  <c r="O21" i="19"/>
  <c r="N21" i="19"/>
  <c r="N23" i="19" s="1"/>
  <c r="M21" i="19"/>
  <c r="M23" i="19" s="1"/>
  <c r="L21" i="19"/>
  <c r="L23" i="19" s="1"/>
  <c r="K21" i="19"/>
  <c r="K23" i="19" s="1"/>
  <c r="J21" i="19"/>
  <c r="I21" i="19"/>
  <c r="H21" i="19"/>
  <c r="U20" i="19"/>
  <c r="U19" i="19"/>
  <c r="U21" i="19" s="1"/>
  <c r="D19" i="19"/>
  <c r="G19" i="19" s="1"/>
  <c r="M16" i="19"/>
  <c r="G16" i="19"/>
  <c r="S12" i="19"/>
  <c r="R12" i="19"/>
  <c r="Q12" i="19"/>
  <c r="P12" i="19"/>
  <c r="P23" i="19" s="1"/>
  <c r="O12" i="19"/>
  <c r="O23" i="19" s="1"/>
  <c r="N12" i="19"/>
  <c r="M12" i="19"/>
  <c r="L12" i="19"/>
  <c r="K12" i="19"/>
  <c r="J12" i="19"/>
  <c r="I12" i="19"/>
  <c r="H12" i="19"/>
  <c r="H23" i="19" s="1"/>
  <c r="U11" i="19"/>
  <c r="U10" i="19"/>
  <c r="U12" i="19" s="1"/>
  <c r="D38" i="1" s="1"/>
  <c r="G7" i="19"/>
  <c r="Q23" i="18"/>
  <c r="I23" i="18"/>
  <c r="S21" i="18"/>
  <c r="S23" i="18" s="1"/>
  <c r="R21" i="18"/>
  <c r="Q21" i="18"/>
  <c r="P21" i="18"/>
  <c r="O21" i="18"/>
  <c r="N21" i="18"/>
  <c r="N23" i="18" s="1"/>
  <c r="M21" i="18"/>
  <c r="M23" i="18" s="1"/>
  <c r="L21" i="18"/>
  <c r="L23" i="18" s="1"/>
  <c r="K21" i="18"/>
  <c r="K23" i="18" s="1"/>
  <c r="J21" i="18"/>
  <c r="I21" i="18"/>
  <c r="H21" i="18"/>
  <c r="U20" i="18"/>
  <c r="U19" i="18"/>
  <c r="D19" i="18"/>
  <c r="G19" i="18" s="1"/>
  <c r="H16" i="18"/>
  <c r="G16" i="18"/>
  <c r="S12" i="18"/>
  <c r="R12" i="18"/>
  <c r="R23" i="18" s="1"/>
  <c r="Q12" i="18"/>
  <c r="P12" i="18"/>
  <c r="P23" i="18" s="1"/>
  <c r="O12" i="18"/>
  <c r="O23" i="18" s="1"/>
  <c r="N12" i="18"/>
  <c r="M12" i="18"/>
  <c r="L12" i="18"/>
  <c r="K12" i="18"/>
  <c r="J12" i="18"/>
  <c r="J23" i="18" s="1"/>
  <c r="I12" i="18"/>
  <c r="H12" i="18"/>
  <c r="H23" i="18" s="1"/>
  <c r="U11" i="18"/>
  <c r="U10" i="18"/>
  <c r="U12" i="18" s="1"/>
  <c r="G7" i="18"/>
  <c r="Q23" i="17"/>
  <c r="P23" i="17"/>
  <c r="O23" i="17"/>
  <c r="I23" i="17"/>
  <c r="H23" i="17"/>
  <c r="S21" i="17"/>
  <c r="S23" i="17" s="1"/>
  <c r="R21" i="17"/>
  <c r="Q21" i="17"/>
  <c r="P21" i="17"/>
  <c r="O21" i="17"/>
  <c r="N21" i="17"/>
  <c r="N23" i="17" s="1"/>
  <c r="M21" i="17"/>
  <c r="M23" i="17" s="1"/>
  <c r="L21" i="17"/>
  <c r="L23" i="17" s="1"/>
  <c r="K21" i="17"/>
  <c r="K23" i="17" s="1"/>
  <c r="J21" i="17"/>
  <c r="I21" i="17"/>
  <c r="H21" i="17"/>
  <c r="U20" i="17"/>
  <c r="U19" i="17"/>
  <c r="U21" i="17" s="1"/>
  <c r="D19" i="17"/>
  <c r="G19" i="17" s="1"/>
  <c r="M16" i="17"/>
  <c r="L16" i="17"/>
  <c r="K16" i="17"/>
  <c r="H16" i="17"/>
  <c r="G16" i="17"/>
  <c r="U12" i="17"/>
  <c r="D37" i="1" s="1"/>
  <c r="S12" i="17"/>
  <c r="R12" i="17"/>
  <c r="R23" i="17" s="1"/>
  <c r="Q12" i="17"/>
  <c r="P12" i="17"/>
  <c r="O12" i="17"/>
  <c r="N12" i="17"/>
  <c r="M12" i="17"/>
  <c r="L12" i="17"/>
  <c r="K12" i="17"/>
  <c r="J12" i="17"/>
  <c r="J23" i="17" s="1"/>
  <c r="I12" i="17"/>
  <c r="H12" i="17"/>
  <c r="U11" i="17"/>
  <c r="U10" i="17"/>
  <c r="G7" i="17"/>
  <c r="S22" i="16"/>
  <c r="R22" i="16"/>
  <c r="Q22" i="16"/>
  <c r="Q24" i="16" s="1"/>
  <c r="P22" i="16"/>
  <c r="P24" i="16" s="1"/>
  <c r="O22" i="16"/>
  <c r="O24" i="16" s="1"/>
  <c r="N22" i="16"/>
  <c r="N24" i="16" s="1"/>
  <c r="M22" i="16"/>
  <c r="L22" i="16"/>
  <c r="K22" i="16"/>
  <c r="J22" i="16"/>
  <c r="I22" i="16"/>
  <c r="I24" i="16" s="1"/>
  <c r="H22" i="16"/>
  <c r="H24" i="16" s="1"/>
  <c r="U21" i="16"/>
  <c r="U20" i="16"/>
  <c r="U22" i="16" s="1"/>
  <c r="G20" i="16"/>
  <c r="D20" i="16"/>
  <c r="K17" i="16"/>
  <c r="G17" i="16"/>
  <c r="U13" i="16"/>
  <c r="D36" i="1" s="1"/>
  <c r="S13" i="16"/>
  <c r="S24" i="16" s="1"/>
  <c r="R13" i="16"/>
  <c r="R24" i="16" s="1"/>
  <c r="Q13" i="16"/>
  <c r="P13" i="16"/>
  <c r="O13" i="16"/>
  <c r="N13" i="16"/>
  <c r="M13" i="16"/>
  <c r="M24" i="16" s="1"/>
  <c r="L13" i="16"/>
  <c r="L24" i="16" s="1"/>
  <c r="K13" i="16"/>
  <c r="K24" i="16" s="1"/>
  <c r="J13" i="16"/>
  <c r="J24" i="16" s="1"/>
  <c r="I13" i="16"/>
  <c r="H13" i="16"/>
  <c r="U12" i="16"/>
  <c r="U11" i="16"/>
  <c r="G8" i="16"/>
  <c r="R24" i="15"/>
  <c r="M24" i="15"/>
  <c r="L24" i="15"/>
  <c r="J24" i="15"/>
  <c r="S22" i="15"/>
  <c r="R22" i="15"/>
  <c r="Q22" i="15"/>
  <c r="Q24" i="15" s="1"/>
  <c r="P22" i="15"/>
  <c r="P24" i="15" s="1"/>
  <c r="O22" i="15"/>
  <c r="O24" i="15" s="1"/>
  <c r="N22" i="15"/>
  <c r="N24" i="15" s="1"/>
  <c r="M22" i="15"/>
  <c r="L22" i="15"/>
  <c r="K22" i="15"/>
  <c r="J22" i="15"/>
  <c r="I22" i="15"/>
  <c r="I24" i="15" s="1"/>
  <c r="H22" i="15"/>
  <c r="H24" i="15" s="1"/>
  <c r="U21" i="15"/>
  <c r="U20" i="15"/>
  <c r="U22" i="15" s="1"/>
  <c r="F35" i="1" s="1"/>
  <c r="H35" i="1" s="1"/>
  <c r="G20" i="15"/>
  <c r="D20" i="15"/>
  <c r="G17" i="15"/>
  <c r="U13" i="15"/>
  <c r="D35" i="1" s="1"/>
  <c r="S13" i="15"/>
  <c r="S24" i="15" s="1"/>
  <c r="R13" i="15"/>
  <c r="Q13" i="15"/>
  <c r="P13" i="15"/>
  <c r="O13" i="15"/>
  <c r="N13" i="15"/>
  <c r="M13" i="15"/>
  <c r="L13" i="15"/>
  <c r="K13" i="15"/>
  <c r="K24" i="15" s="1"/>
  <c r="J13" i="15"/>
  <c r="I13" i="15"/>
  <c r="H13" i="15"/>
  <c r="U12" i="15"/>
  <c r="U11" i="15"/>
  <c r="G8" i="15"/>
  <c r="S23" i="14"/>
  <c r="R23" i="14"/>
  <c r="Q23" i="14"/>
  <c r="K23" i="14"/>
  <c r="J23" i="14"/>
  <c r="I23" i="14"/>
  <c r="S21" i="14"/>
  <c r="R21" i="14"/>
  <c r="Q21" i="14"/>
  <c r="P21" i="14"/>
  <c r="P23" i="14" s="1"/>
  <c r="O21" i="14"/>
  <c r="O23" i="14" s="1"/>
  <c r="N21" i="14"/>
  <c r="N23" i="14" s="1"/>
  <c r="M21" i="14"/>
  <c r="M23" i="14" s="1"/>
  <c r="L21" i="14"/>
  <c r="K21" i="14"/>
  <c r="J21" i="14"/>
  <c r="I21" i="14"/>
  <c r="H21" i="14"/>
  <c r="H23" i="14" s="1"/>
  <c r="U20" i="14"/>
  <c r="U19" i="14"/>
  <c r="D19" i="14"/>
  <c r="G19" i="14" s="1"/>
  <c r="L16" i="14"/>
  <c r="K16" i="14"/>
  <c r="J16" i="14"/>
  <c r="H16" i="14"/>
  <c r="G16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U11" i="14"/>
  <c r="U10" i="14"/>
  <c r="U12" i="14" s="1"/>
  <c r="D34" i="1" s="1"/>
  <c r="G7" i="14"/>
  <c r="O24" i="13"/>
  <c r="N24" i="13"/>
  <c r="L24" i="13"/>
  <c r="U22" i="13"/>
  <c r="F33" i="1" s="1"/>
  <c r="S22" i="13"/>
  <c r="S24" i="13" s="1"/>
  <c r="R22" i="13"/>
  <c r="R24" i="13" s="1"/>
  <c r="Q22" i="13"/>
  <c r="Q24" i="13" s="1"/>
  <c r="P22" i="13"/>
  <c r="P24" i="13" s="1"/>
  <c r="O22" i="13"/>
  <c r="N22" i="13"/>
  <c r="M22" i="13"/>
  <c r="L22" i="13"/>
  <c r="K22" i="13"/>
  <c r="K24" i="13" s="1"/>
  <c r="J22" i="13"/>
  <c r="J24" i="13" s="1"/>
  <c r="I22" i="13"/>
  <c r="I24" i="13" s="1"/>
  <c r="H22" i="13"/>
  <c r="H24" i="13" s="1"/>
  <c r="U21" i="13"/>
  <c r="U20" i="13"/>
  <c r="D20" i="13"/>
  <c r="G20" i="13" s="1"/>
  <c r="G17" i="13"/>
  <c r="S13" i="13"/>
  <c r="R13" i="13"/>
  <c r="Q13" i="13"/>
  <c r="P13" i="13"/>
  <c r="O13" i="13"/>
  <c r="N13" i="13"/>
  <c r="M13" i="13"/>
  <c r="M24" i="13" s="1"/>
  <c r="L13" i="13"/>
  <c r="K13" i="13"/>
  <c r="J13" i="13"/>
  <c r="I13" i="13"/>
  <c r="H13" i="13"/>
  <c r="U12" i="13"/>
  <c r="U11" i="13"/>
  <c r="U13" i="13" s="1"/>
  <c r="G8" i="13"/>
  <c r="S23" i="12"/>
  <c r="N23" i="12"/>
  <c r="M23" i="12"/>
  <c r="S21" i="12"/>
  <c r="R21" i="12"/>
  <c r="R23" i="12" s="1"/>
  <c r="Q21" i="12"/>
  <c r="Q23" i="12" s="1"/>
  <c r="P21" i="12"/>
  <c r="P23" i="12" s="1"/>
  <c r="O21" i="12"/>
  <c r="N21" i="12"/>
  <c r="M21" i="12"/>
  <c r="L21" i="12"/>
  <c r="L23" i="12" s="1"/>
  <c r="K21" i="12"/>
  <c r="K23" i="12" s="1"/>
  <c r="J21" i="12"/>
  <c r="J23" i="12" s="1"/>
  <c r="I21" i="12"/>
  <c r="I23" i="12" s="1"/>
  <c r="H21" i="12"/>
  <c r="H23" i="12" s="1"/>
  <c r="U20" i="12"/>
  <c r="U19" i="12"/>
  <c r="K19" i="12"/>
  <c r="D19" i="12"/>
  <c r="G19" i="12" s="1"/>
  <c r="M16" i="12"/>
  <c r="L16" i="12"/>
  <c r="K16" i="12"/>
  <c r="J16" i="12"/>
  <c r="G16" i="12"/>
  <c r="S12" i="12"/>
  <c r="R12" i="12"/>
  <c r="Q12" i="12"/>
  <c r="P12" i="12"/>
  <c r="O12" i="12"/>
  <c r="O23" i="12" s="1"/>
  <c r="N12" i="12"/>
  <c r="M12" i="12"/>
  <c r="L12" i="12"/>
  <c r="K12" i="12"/>
  <c r="J12" i="12"/>
  <c r="I12" i="12"/>
  <c r="H12" i="12"/>
  <c r="U11" i="12"/>
  <c r="U12" i="12" s="1"/>
  <c r="D32" i="1" s="1"/>
  <c r="U10" i="12"/>
  <c r="G7" i="12"/>
  <c r="O32" i="11"/>
  <c r="I32" i="11"/>
  <c r="H32" i="11"/>
  <c r="O30" i="11"/>
  <c r="L30" i="11"/>
  <c r="L32" i="11" s="1"/>
  <c r="J30" i="11"/>
  <c r="I30" i="11"/>
  <c r="H30" i="11"/>
  <c r="S29" i="11"/>
  <c r="R29" i="11"/>
  <c r="R30" i="11" s="1"/>
  <c r="R32" i="11" s="1"/>
  <c r="Q29" i="11"/>
  <c r="P29" i="11"/>
  <c r="O29" i="11"/>
  <c r="N29" i="11"/>
  <c r="N30" i="11" s="1"/>
  <c r="N32" i="11" s="1"/>
  <c r="M29" i="11"/>
  <c r="L29" i="11"/>
  <c r="K29" i="11"/>
  <c r="S28" i="11"/>
  <c r="S30" i="11" s="1"/>
  <c r="S32" i="11" s="1"/>
  <c r="R28" i="11"/>
  <c r="Q28" i="11"/>
  <c r="Q30" i="11" s="1"/>
  <c r="Q32" i="11" s="1"/>
  <c r="P28" i="11"/>
  <c r="P30" i="11" s="1"/>
  <c r="P32" i="11" s="1"/>
  <c r="O28" i="11"/>
  <c r="N28" i="11"/>
  <c r="M28" i="11"/>
  <c r="M30" i="11" s="1"/>
  <c r="M32" i="11" s="1"/>
  <c r="L28" i="11"/>
  <c r="K28" i="11"/>
  <c r="D28" i="11"/>
  <c r="G28" i="11" s="1"/>
  <c r="Q23" i="11"/>
  <c r="P23" i="11"/>
  <c r="O23" i="11"/>
  <c r="I23" i="11"/>
  <c r="H23" i="11"/>
  <c r="S21" i="11"/>
  <c r="S23" i="11" s="1"/>
  <c r="R21" i="11"/>
  <c r="Q21" i="11"/>
  <c r="P21" i="11"/>
  <c r="O21" i="11"/>
  <c r="N21" i="11"/>
  <c r="N23" i="11" s="1"/>
  <c r="M21" i="11"/>
  <c r="M23" i="11" s="1"/>
  <c r="L21" i="11"/>
  <c r="L23" i="11" s="1"/>
  <c r="K21" i="11"/>
  <c r="K23" i="11" s="1"/>
  <c r="J21" i="11"/>
  <c r="I21" i="11"/>
  <c r="H21" i="11"/>
  <c r="U20" i="11"/>
  <c r="U21" i="11" s="1"/>
  <c r="U19" i="11"/>
  <c r="D19" i="11"/>
  <c r="G19" i="11" s="1"/>
  <c r="L16" i="11"/>
  <c r="K16" i="11"/>
  <c r="J16" i="11"/>
  <c r="H16" i="11"/>
  <c r="G16" i="11"/>
  <c r="U12" i="11"/>
  <c r="D31" i="1" s="1"/>
  <c r="S12" i="11"/>
  <c r="R12" i="11"/>
  <c r="R23" i="11" s="1"/>
  <c r="Q12" i="11"/>
  <c r="P12" i="11"/>
  <c r="O12" i="11"/>
  <c r="N12" i="11"/>
  <c r="M12" i="11"/>
  <c r="L12" i="11"/>
  <c r="K12" i="11"/>
  <c r="J12" i="11"/>
  <c r="I12" i="11"/>
  <c r="H12" i="11"/>
  <c r="U11" i="11"/>
  <c r="U10" i="11"/>
  <c r="G7" i="11"/>
  <c r="M23" i="10"/>
  <c r="J23" i="10"/>
  <c r="S21" i="10"/>
  <c r="R21" i="10"/>
  <c r="Q21" i="10"/>
  <c r="Q23" i="10" s="1"/>
  <c r="P21" i="10"/>
  <c r="P23" i="10" s="1"/>
  <c r="O21" i="10"/>
  <c r="O23" i="10" s="1"/>
  <c r="N21" i="10"/>
  <c r="M21" i="10"/>
  <c r="L21" i="10"/>
  <c r="K21" i="10"/>
  <c r="J21" i="10"/>
  <c r="I21" i="10"/>
  <c r="I23" i="10" s="1"/>
  <c r="H21" i="10"/>
  <c r="H23" i="10" s="1"/>
  <c r="U20" i="10"/>
  <c r="U21" i="10" s="1"/>
  <c r="U23" i="10" s="1"/>
  <c r="U19" i="10"/>
  <c r="G19" i="10"/>
  <c r="D19" i="10"/>
  <c r="H16" i="10"/>
  <c r="G16" i="10"/>
  <c r="U12" i="10"/>
  <c r="D30" i="1" s="1"/>
  <c r="S12" i="10"/>
  <c r="S23" i="10" s="1"/>
  <c r="R12" i="10"/>
  <c r="R23" i="10" s="1"/>
  <c r="Q12" i="10"/>
  <c r="P12" i="10"/>
  <c r="O12" i="10"/>
  <c r="N12" i="10"/>
  <c r="N23" i="10" s="1"/>
  <c r="M12" i="10"/>
  <c r="L12" i="10"/>
  <c r="K12" i="10"/>
  <c r="K23" i="10" s="1"/>
  <c r="J12" i="10"/>
  <c r="I12" i="10"/>
  <c r="H12" i="10"/>
  <c r="U11" i="10"/>
  <c r="U10" i="10"/>
  <c r="G7" i="10"/>
  <c r="U18" i="9"/>
  <c r="M18" i="9"/>
  <c r="L18" i="9"/>
  <c r="S16" i="9"/>
  <c r="R16" i="9"/>
  <c r="Q16" i="9"/>
  <c r="Q18" i="9" s="1"/>
  <c r="P16" i="9"/>
  <c r="O16" i="9"/>
  <c r="O18" i="9" s="1"/>
  <c r="N16" i="9"/>
  <c r="M16" i="9"/>
  <c r="L16" i="9"/>
  <c r="K16" i="9"/>
  <c r="J16" i="9"/>
  <c r="I16" i="9"/>
  <c r="I18" i="9" s="1"/>
  <c r="H16" i="9"/>
  <c r="H18" i="9" s="1"/>
  <c r="U15" i="9"/>
  <c r="U16" i="9" s="1"/>
  <c r="F29" i="1" s="1"/>
  <c r="H29" i="1" s="1"/>
  <c r="D15" i="9"/>
  <c r="G15" i="9" s="1"/>
  <c r="G12" i="9"/>
  <c r="U9" i="9"/>
  <c r="S9" i="9"/>
  <c r="S18" i="9" s="1"/>
  <c r="R9" i="9"/>
  <c r="R18" i="9" s="1"/>
  <c r="Q9" i="9"/>
  <c r="P9" i="9"/>
  <c r="O9" i="9"/>
  <c r="N9" i="9"/>
  <c r="N18" i="9" s="1"/>
  <c r="M9" i="9"/>
  <c r="L9" i="9"/>
  <c r="K9" i="9"/>
  <c r="K18" i="9" s="1"/>
  <c r="J9" i="9"/>
  <c r="J18" i="9" s="1"/>
  <c r="I9" i="9"/>
  <c r="H9" i="9"/>
  <c r="U8" i="9"/>
  <c r="G5" i="9"/>
  <c r="R18" i="8"/>
  <c r="Q18" i="8"/>
  <c r="J18" i="8"/>
  <c r="I18" i="8"/>
  <c r="U16" i="8"/>
  <c r="U18" i="8" s="1"/>
  <c r="S16" i="8"/>
  <c r="R16" i="8"/>
  <c r="Q16" i="8"/>
  <c r="P16" i="8"/>
  <c r="O16" i="8"/>
  <c r="N16" i="8"/>
  <c r="N18" i="8" s="1"/>
  <c r="M16" i="8"/>
  <c r="M18" i="8" s="1"/>
  <c r="L16" i="8"/>
  <c r="L18" i="8" s="1"/>
  <c r="K16" i="8"/>
  <c r="J16" i="8"/>
  <c r="I16" i="8"/>
  <c r="H16" i="8"/>
  <c r="U15" i="8"/>
  <c r="G15" i="8"/>
  <c r="D15" i="8"/>
  <c r="G12" i="8"/>
  <c r="S9" i="8"/>
  <c r="S18" i="8" s="1"/>
  <c r="R9" i="8"/>
  <c r="Q9" i="8"/>
  <c r="P9" i="8"/>
  <c r="P18" i="8" s="1"/>
  <c r="O9" i="8"/>
  <c r="O18" i="8" s="1"/>
  <c r="N9" i="8"/>
  <c r="M9" i="8"/>
  <c r="L9" i="8"/>
  <c r="K9" i="8"/>
  <c r="K18" i="8" s="1"/>
  <c r="J9" i="8"/>
  <c r="I9" i="8"/>
  <c r="H9" i="8"/>
  <c r="H18" i="8" s="1"/>
  <c r="U8" i="8"/>
  <c r="U9" i="8" s="1"/>
  <c r="D28" i="1" s="1"/>
  <c r="D8" i="8"/>
  <c r="G8" i="8" s="1"/>
  <c r="G5" i="8"/>
  <c r="Q20" i="7"/>
  <c r="P20" i="7"/>
  <c r="N20" i="7"/>
  <c r="I20" i="7"/>
  <c r="H20" i="7"/>
  <c r="S18" i="7"/>
  <c r="S20" i="7" s="1"/>
  <c r="R18" i="7"/>
  <c r="Q18" i="7"/>
  <c r="P18" i="7"/>
  <c r="O18" i="7"/>
  <c r="N18" i="7"/>
  <c r="M18" i="7"/>
  <c r="L18" i="7"/>
  <c r="L20" i="7" s="1"/>
  <c r="K18" i="7"/>
  <c r="K20" i="7" s="1"/>
  <c r="J18" i="7"/>
  <c r="I18" i="7"/>
  <c r="H18" i="7"/>
  <c r="U17" i="7"/>
  <c r="U16" i="7"/>
  <c r="U18" i="7" s="1"/>
  <c r="G16" i="7"/>
  <c r="D16" i="7"/>
  <c r="G13" i="7"/>
  <c r="S10" i="7"/>
  <c r="R10" i="7"/>
  <c r="R20" i="7" s="1"/>
  <c r="Q10" i="7"/>
  <c r="P10" i="7"/>
  <c r="O10" i="7"/>
  <c r="O20" i="7" s="1"/>
  <c r="N10" i="7"/>
  <c r="M10" i="7"/>
  <c r="L10" i="7"/>
  <c r="K10" i="7"/>
  <c r="J10" i="7"/>
  <c r="J20" i="7" s="1"/>
  <c r="I10" i="7"/>
  <c r="H10" i="7"/>
  <c r="U9" i="7"/>
  <c r="U8" i="7"/>
  <c r="G8" i="7"/>
  <c r="D8" i="7"/>
  <c r="G5" i="7"/>
  <c r="R18" i="6"/>
  <c r="Q18" i="6"/>
  <c r="J18" i="6"/>
  <c r="I18" i="6"/>
  <c r="U16" i="6"/>
  <c r="U18" i="6" s="1"/>
  <c r="S16" i="6"/>
  <c r="R16" i="6"/>
  <c r="Q16" i="6"/>
  <c r="P16" i="6"/>
  <c r="O16" i="6"/>
  <c r="N16" i="6"/>
  <c r="N18" i="6" s="1"/>
  <c r="M16" i="6"/>
  <c r="L16" i="6"/>
  <c r="L18" i="6" s="1"/>
  <c r="K16" i="6"/>
  <c r="J16" i="6"/>
  <c r="I16" i="6"/>
  <c r="H16" i="6"/>
  <c r="U15" i="6"/>
  <c r="G15" i="6"/>
  <c r="D15" i="6"/>
  <c r="G12" i="6"/>
  <c r="S9" i="6"/>
  <c r="S18" i="6" s="1"/>
  <c r="R9" i="6"/>
  <c r="Q9" i="6"/>
  <c r="P9" i="6"/>
  <c r="P18" i="6" s="1"/>
  <c r="O9" i="6"/>
  <c r="O18" i="6" s="1"/>
  <c r="N9" i="6"/>
  <c r="M9" i="6"/>
  <c r="L9" i="6"/>
  <c r="K9" i="6"/>
  <c r="K18" i="6" s="1"/>
  <c r="J9" i="6"/>
  <c r="I9" i="6"/>
  <c r="H9" i="6"/>
  <c r="H18" i="6" s="1"/>
  <c r="U8" i="6"/>
  <c r="U9" i="6" s="1"/>
  <c r="D26" i="1" s="1"/>
  <c r="D8" i="6"/>
  <c r="G8" i="6" s="1"/>
  <c r="G5" i="6"/>
  <c r="Q23" i="5"/>
  <c r="P23" i="5"/>
  <c r="O23" i="5"/>
  <c r="N23" i="5"/>
  <c r="I23" i="5"/>
  <c r="S21" i="5"/>
  <c r="S23" i="5" s="1"/>
  <c r="R21" i="5"/>
  <c r="Q21" i="5"/>
  <c r="P21" i="5"/>
  <c r="O21" i="5"/>
  <c r="N21" i="5"/>
  <c r="M21" i="5"/>
  <c r="M23" i="5" s="1"/>
  <c r="L21" i="5"/>
  <c r="L23" i="5" s="1"/>
  <c r="K21" i="5"/>
  <c r="K23" i="5" s="1"/>
  <c r="J21" i="5"/>
  <c r="I21" i="5"/>
  <c r="H21" i="5"/>
  <c r="U20" i="5"/>
  <c r="G20" i="5"/>
  <c r="U19" i="5"/>
  <c r="U18" i="5"/>
  <c r="U17" i="5"/>
  <c r="G17" i="5"/>
  <c r="L14" i="5"/>
  <c r="H14" i="5"/>
  <c r="S12" i="5"/>
  <c r="R12" i="5"/>
  <c r="Q12" i="5"/>
  <c r="P12" i="5"/>
  <c r="O12" i="5"/>
  <c r="N12" i="5"/>
  <c r="M12" i="5"/>
  <c r="L12" i="5"/>
  <c r="K12" i="5"/>
  <c r="J12" i="5"/>
  <c r="I12" i="5"/>
  <c r="H12" i="5"/>
  <c r="H23" i="5" s="1"/>
  <c r="U11" i="5"/>
  <c r="G11" i="5"/>
  <c r="U10" i="5"/>
  <c r="U9" i="5"/>
  <c r="U8" i="5"/>
  <c r="U12" i="5" s="1"/>
  <c r="D25" i="1" s="1"/>
  <c r="G8" i="5"/>
  <c r="S22" i="4"/>
  <c r="R22" i="4"/>
  <c r="M22" i="4"/>
  <c r="J22" i="4"/>
  <c r="S20" i="4"/>
  <c r="R20" i="4"/>
  <c r="Q20" i="4"/>
  <c r="Q22" i="4" s="1"/>
  <c r="P20" i="4"/>
  <c r="P22" i="4" s="1"/>
  <c r="O20" i="4"/>
  <c r="O22" i="4" s="1"/>
  <c r="M20" i="4"/>
  <c r="J20" i="4"/>
  <c r="H20" i="4"/>
  <c r="H22" i="4" s="1"/>
  <c r="U19" i="4"/>
  <c r="U18" i="4"/>
  <c r="N17" i="4"/>
  <c r="N20" i="4" s="1"/>
  <c r="N22" i="4" s="1"/>
  <c r="M17" i="4"/>
  <c r="L17" i="4"/>
  <c r="L20" i="4" s="1"/>
  <c r="L22" i="4" s="1"/>
  <c r="K17" i="4"/>
  <c r="K20" i="4" s="1"/>
  <c r="K22" i="4" s="1"/>
  <c r="J17" i="4"/>
  <c r="I17" i="4"/>
  <c r="U17" i="4" s="1"/>
  <c r="H17" i="4"/>
  <c r="S12" i="4"/>
  <c r="R12" i="4"/>
  <c r="Q12" i="4"/>
  <c r="P12" i="4"/>
  <c r="O12" i="4"/>
  <c r="N12" i="4"/>
  <c r="M12" i="4"/>
  <c r="L12" i="4"/>
  <c r="K12" i="4"/>
  <c r="J12" i="4"/>
  <c r="I12" i="4"/>
  <c r="H12" i="4"/>
  <c r="U11" i="4"/>
  <c r="G11" i="4"/>
  <c r="U10" i="4"/>
  <c r="U9" i="4"/>
  <c r="U12" i="4" s="1"/>
  <c r="D24" i="1" s="1"/>
  <c r="U8" i="4"/>
  <c r="G8" i="4"/>
  <c r="S22" i="3"/>
  <c r="R22" i="3"/>
  <c r="K22" i="3"/>
  <c r="S20" i="3"/>
  <c r="R20" i="3"/>
  <c r="Q20" i="3"/>
  <c r="P20" i="3"/>
  <c r="O20" i="3"/>
  <c r="O22" i="3" s="1"/>
  <c r="N20" i="3"/>
  <c r="N22" i="3" s="1"/>
  <c r="M20" i="3"/>
  <c r="M22" i="3" s="1"/>
  <c r="K20" i="3"/>
  <c r="H20" i="3"/>
  <c r="U19" i="3"/>
  <c r="U18" i="3"/>
  <c r="N17" i="3"/>
  <c r="M17" i="3"/>
  <c r="L17" i="3"/>
  <c r="L20" i="3" s="1"/>
  <c r="L22" i="3" s="1"/>
  <c r="K17" i="3"/>
  <c r="J17" i="3"/>
  <c r="J20" i="3" s="1"/>
  <c r="J22" i="3" s="1"/>
  <c r="I17" i="3"/>
  <c r="I20" i="3" s="1"/>
  <c r="I22" i="3" s="1"/>
  <c r="H17" i="3"/>
  <c r="I14" i="3"/>
  <c r="H14" i="3"/>
  <c r="S12" i="3"/>
  <c r="R12" i="3"/>
  <c r="Q12" i="3"/>
  <c r="Q22" i="3" s="1"/>
  <c r="P12" i="3"/>
  <c r="P22" i="3" s="1"/>
  <c r="O12" i="3"/>
  <c r="N12" i="3"/>
  <c r="M12" i="3"/>
  <c r="L12" i="3"/>
  <c r="K12" i="3"/>
  <c r="J12" i="3"/>
  <c r="I12" i="3"/>
  <c r="H12" i="3"/>
  <c r="H22" i="3" s="1"/>
  <c r="U11" i="3"/>
  <c r="G11" i="3"/>
  <c r="U10" i="3"/>
  <c r="U9" i="3"/>
  <c r="U12" i="3" s="1"/>
  <c r="D23" i="1" s="1"/>
  <c r="U8" i="3"/>
  <c r="G8" i="3"/>
  <c r="C60" i="1"/>
  <c r="C58" i="1"/>
  <c r="C57" i="1"/>
  <c r="C56" i="1"/>
  <c r="C55" i="1"/>
  <c r="C46" i="1"/>
  <c r="C45" i="1"/>
  <c r="F44" i="1"/>
  <c r="H44" i="1" s="1"/>
  <c r="C44" i="1"/>
  <c r="C43" i="1"/>
  <c r="C42" i="1"/>
  <c r="C41" i="1"/>
  <c r="C40" i="1"/>
  <c r="C39" i="1"/>
  <c r="C38" i="1"/>
  <c r="C37" i="1"/>
  <c r="F36" i="1"/>
  <c r="C36" i="1"/>
  <c r="C35" i="1"/>
  <c r="C34" i="1"/>
  <c r="C33" i="1"/>
  <c r="C32" i="1"/>
  <c r="C31" i="1"/>
  <c r="C30" i="1"/>
  <c r="D29" i="1"/>
  <c r="C29" i="1"/>
  <c r="C28" i="1"/>
  <c r="C27" i="1"/>
  <c r="C26" i="1"/>
  <c r="C25" i="1"/>
  <c r="C24" i="1"/>
  <c r="C23" i="1"/>
  <c r="C22" i="1"/>
  <c r="S24" i="2"/>
  <c r="R24" i="2"/>
  <c r="Q24" i="2"/>
  <c r="P24" i="2"/>
  <c r="O24" i="2"/>
  <c r="O26" i="2" s="1"/>
  <c r="N24" i="2"/>
  <c r="N26" i="2" s="1"/>
  <c r="H24" i="2"/>
  <c r="M23" i="2"/>
  <c r="N20" i="2"/>
  <c r="M20" i="2"/>
  <c r="M24" i="2" s="1"/>
  <c r="M26" i="2" s="1"/>
  <c r="L20" i="2"/>
  <c r="L24" i="2" s="1"/>
  <c r="L26" i="2" s="1"/>
  <c r="K20" i="2"/>
  <c r="K24" i="2" s="1"/>
  <c r="K26" i="2" s="1"/>
  <c r="J20" i="2"/>
  <c r="I20" i="2"/>
  <c r="H20" i="2"/>
  <c r="H17" i="2"/>
  <c r="S12" i="2"/>
  <c r="S26" i="2" s="1"/>
  <c r="R12" i="2"/>
  <c r="R26" i="2" s="1"/>
  <c r="Q12" i="2"/>
  <c r="Q26" i="2" s="1"/>
  <c r="P12" i="2"/>
  <c r="P26" i="2" s="1"/>
  <c r="O12" i="2"/>
  <c r="N12" i="2"/>
  <c r="M12" i="2"/>
  <c r="L12" i="2"/>
  <c r="K12" i="2"/>
  <c r="J12" i="2"/>
  <c r="I12" i="2"/>
  <c r="H12" i="2"/>
  <c r="H26" i="2" s="1"/>
  <c r="U11" i="2"/>
  <c r="G11" i="2"/>
  <c r="U10" i="2"/>
  <c r="U9" i="2"/>
  <c r="U8" i="2"/>
  <c r="U12" i="2" s="1"/>
  <c r="D22" i="1" s="1"/>
  <c r="G8" i="2"/>
  <c r="L23" i="24" l="1"/>
  <c r="U21" i="23"/>
  <c r="F43" i="1" s="1"/>
  <c r="H43" i="1" s="1"/>
  <c r="U21" i="22"/>
  <c r="F42" i="1" s="1"/>
  <c r="H42" i="1" s="1"/>
  <c r="U21" i="21"/>
  <c r="L21" i="20"/>
  <c r="L23" i="20" s="1"/>
  <c r="U21" i="20"/>
  <c r="U23" i="20" s="1"/>
  <c r="U21" i="18"/>
  <c r="F38" i="1" s="1"/>
  <c r="H38" i="1" s="1"/>
  <c r="L23" i="14"/>
  <c r="U21" i="14"/>
  <c r="U23" i="14" s="1"/>
  <c r="U21" i="12"/>
  <c r="F32" i="1" s="1"/>
  <c r="H32" i="1" s="1"/>
  <c r="L23" i="10"/>
  <c r="F30" i="1"/>
  <c r="H30" i="1" s="1"/>
  <c r="U23" i="11"/>
  <c r="F31" i="1"/>
  <c r="H31" i="1" s="1"/>
  <c r="U29" i="11"/>
  <c r="U23" i="19"/>
  <c r="F39" i="1"/>
  <c r="H39" i="1" s="1"/>
  <c r="U23" i="23"/>
  <c r="P18" i="9"/>
  <c r="J24" i="2"/>
  <c r="J26" i="2" s="1"/>
  <c r="U24" i="2"/>
  <c r="F22" i="1" s="1"/>
  <c r="D33" i="1"/>
  <c r="H33" i="1" s="1"/>
  <c r="U24" i="13"/>
  <c r="U23" i="18"/>
  <c r="F34" i="1"/>
  <c r="H34" i="1" s="1"/>
  <c r="U20" i="4"/>
  <c r="F24" i="1" s="1"/>
  <c r="H24" i="1" s="1"/>
  <c r="F46" i="1"/>
  <c r="H46" i="1" s="1"/>
  <c r="J23" i="5"/>
  <c r="R23" i="5"/>
  <c r="M18" i="6"/>
  <c r="U10" i="7"/>
  <c r="D27" i="1" s="1"/>
  <c r="D47" i="1" s="1"/>
  <c r="D9" i="1" s="1"/>
  <c r="M20" i="7"/>
  <c r="J23" i="11"/>
  <c r="J32" i="11"/>
  <c r="F37" i="1"/>
  <c r="H37" i="1" s="1"/>
  <c r="U23" i="17"/>
  <c r="U23" i="22"/>
  <c r="P23" i="26"/>
  <c r="U28" i="11"/>
  <c r="K30" i="11"/>
  <c r="F40" i="1"/>
  <c r="I20" i="4"/>
  <c r="I22" i="4" s="1"/>
  <c r="F26" i="1"/>
  <c r="H26" i="1" s="1"/>
  <c r="H36" i="1"/>
  <c r="U17" i="3"/>
  <c r="U20" i="3" s="1"/>
  <c r="F23" i="1" s="1"/>
  <c r="H23" i="1" s="1"/>
  <c r="U21" i="5"/>
  <c r="F27" i="1"/>
  <c r="H27" i="1" s="1"/>
  <c r="U23" i="12"/>
  <c r="U24" i="16"/>
  <c r="U23" i="25"/>
  <c r="F45" i="1"/>
  <c r="H45" i="1" s="1"/>
  <c r="F28" i="1"/>
  <c r="H28" i="1" s="1"/>
  <c r="U24" i="15"/>
  <c r="D39" i="1"/>
  <c r="D40" i="1"/>
  <c r="I23" i="21"/>
  <c r="Q23" i="21"/>
  <c r="F41" i="1" l="1"/>
  <c r="H41" i="1" s="1"/>
  <c r="U23" i="21"/>
  <c r="K32" i="11"/>
  <c r="U30" i="11"/>
  <c r="U32" i="11" s="1"/>
  <c r="U20" i="7"/>
  <c r="U23" i="5"/>
  <c r="F25" i="1"/>
  <c r="H25" i="1" s="1"/>
  <c r="H22" i="1"/>
  <c r="H40" i="1"/>
  <c r="F47" i="1" l="1"/>
  <c r="D10" i="1" s="1"/>
  <c r="D11" i="1" s="1"/>
  <c r="D15" i="1" s="1"/>
  <c r="H47" i="1" l="1"/>
</calcChain>
</file>

<file path=xl/sharedStrings.xml><?xml version="1.0" encoding="utf-8"?>
<sst xmlns="http://schemas.openxmlformats.org/spreadsheetml/2006/main" count="780" uniqueCount="90">
  <si>
    <t>PLANILHA RESUMO</t>
  </si>
  <si>
    <t>RELATÓRIO</t>
  </si>
  <si>
    <t>RESUMO</t>
  </si>
  <si>
    <t>Provisionamento Total</t>
  </si>
  <si>
    <t>Realizado</t>
  </si>
  <si>
    <t>Diferença Realizado x Provisionado</t>
  </si>
  <si>
    <t>RESULTADO ANO</t>
  </si>
  <si>
    <t>Unidades</t>
  </si>
  <si>
    <t>Valor Provisionado</t>
  </si>
  <si>
    <t xml:space="preserve"> Realizado x Provisionado</t>
  </si>
  <si>
    <t>Total</t>
  </si>
  <si>
    <t>CUSTOS FIXOS E VARIÁVEIS</t>
  </si>
  <si>
    <t>Descrição</t>
  </si>
  <si>
    <t>CONTRATO AXIA - ACL</t>
  </si>
  <si>
    <t>HOSPITAL SANTA IZABEL</t>
  </si>
  <si>
    <t>Previsão de Consumo</t>
  </si>
  <si>
    <t xml:space="preserve">CONTRATOS </t>
  </si>
  <si>
    <t>BASE</t>
  </si>
  <si>
    <t>REAJUSTE</t>
  </si>
  <si>
    <t>Tarifa Out.2025</t>
  </si>
  <si>
    <t>Tarifa 2026 (pós reajuste)</t>
  </si>
  <si>
    <t>CONTRATO Nº VI5/LP 018/19 (ENEL)</t>
  </si>
  <si>
    <t>Janeiro</t>
  </si>
  <si>
    <t>IPCA</t>
  </si>
  <si>
    <t>CCEE - Câmara de Comercialização de Energia Elétrica</t>
  </si>
  <si>
    <t>-</t>
  </si>
  <si>
    <t>ENEL Trading (Energia Curto Prazo)</t>
  </si>
  <si>
    <t>CONTRATO COELBA Nº 097/CCER/CCO/08/2012</t>
  </si>
  <si>
    <t>Abril</t>
  </si>
  <si>
    <t>IPCA + ANEEL</t>
  </si>
  <si>
    <t>TOTAL GERAL</t>
  </si>
  <si>
    <t>REALIZADO</t>
  </si>
  <si>
    <t>Organizado por data de emissão das NF's</t>
  </si>
  <si>
    <t>Consumo Real</t>
  </si>
  <si>
    <t>Diferença</t>
  </si>
  <si>
    <t>PUPILEIRA</t>
  </si>
  <si>
    <t>CONTRATO COELBA</t>
  </si>
  <si>
    <t xml:space="preserve">CONTRATO COELBA </t>
  </si>
  <si>
    <t>ANEXO HSI</t>
  </si>
  <si>
    <t>HOSPITAL MUNICIPAL DE SALVADOR</t>
  </si>
  <si>
    <t xml:space="preserve">Coelba (Consumo de Energia) </t>
  </si>
  <si>
    <t>CONTRATO ENEL - ACL (Venc. Abr)</t>
  </si>
  <si>
    <t>CONTRATO ENEL - ACL (Após Abr.)</t>
  </si>
  <si>
    <t>CONTRATO AXIA - ACL (Após Abr.)</t>
  </si>
  <si>
    <t>Curativos Especiais</t>
  </si>
  <si>
    <t>Consumo (kWh)</t>
  </si>
  <si>
    <t>Previsão de Consumo (kWh)</t>
  </si>
  <si>
    <t>Despesa</t>
  </si>
  <si>
    <t>Tarifa Out.25 (R$/kWh)</t>
  </si>
  <si>
    <t>Tarifa + Reajuste</t>
  </si>
  <si>
    <t>Coelba</t>
  </si>
  <si>
    <t>Casa de Apoio Solange Fraga</t>
  </si>
  <si>
    <t>Rateio Guanambi</t>
  </si>
  <si>
    <t>Unidade de Acolhimento Infanto Juvenil</t>
  </si>
  <si>
    <t>Casa da Ladeira, 7 (Galpão de Obras)</t>
  </si>
  <si>
    <t>Clínica Rio Vermelho</t>
  </si>
  <si>
    <t>Provisionado</t>
  </si>
  <si>
    <t>Clínica Ondina</t>
  </si>
  <si>
    <t>Realizado (Vencimento)</t>
  </si>
  <si>
    <t>Movimentações / Vencimento</t>
  </si>
  <si>
    <t>Mês Ref.</t>
  </si>
  <si>
    <t>COELBA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</si>
  <si>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</si>
  <si>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</si>
  <si>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</si>
  <si>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</si>
  <si>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</si>
  <si>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</si>
  <si>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</si>
  <si>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</si>
  <si>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</si>
  <si>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</si>
  <si>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</si>
  <si>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</si>
  <si>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Cemitério Campo Santo, Entrada 1</t>
  </si>
  <si>
    <t>Cemitério Campo Santo, Entrada 2</t>
  </si>
  <si>
    <t>Obs.: Unidade já fora do Rateio de Guanambi, porém, possui créditos energéticos na unidade, assim, zerando as faturas financeiramente.</t>
  </si>
  <si>
    <t>Museu da Misericórdia</t>
  </si>
  <si>
    <t>Cuidado Contínuo</t>
  </si>
  <si>
    <t>Posto de Coleta</t>
  </si>
  <si>
    <t>CAF</t>
  </si>
  <si>
    <t>Clínica Álvaro Lemos</t>
  </si>
  <si>
    <t>Casa Azul</t>
  </si>
  <si>
    <t>CEI Cristo Redentor</t>
  </si>
  <si>
    <t>CER II</t>
  </si>
  <si>
    <t>CEI Santo Antônio</t>
  </si>
  <si>
    <t>CEI São Franscisco</t>
  </si>
  <si>
    <t>CEI São Geraldo</t>
  </si>
  <si>
    <t>Avançar</t>
  </si>
  <si>
    <t>CEI Coração de Mária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</si>
</sst>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$ &quot;#,##0.00"/>
    <numFmt numFmtId="165" formatCode="&quot;R$ &quot;#,##0.00;&quot;-R$ &quot;#,##0.00"/>
    <numFmt numFmtId="166" formatCode="&quot;R$ &quot;#,##0;&quot;-R$ &quot;#,##0"/>
    <numFmt numFmtId="167" formatCode="0.0%"/>
    <numFmt numFmtId="168" formatCode="_-&quot;R$ &quot;* #,##0.00_-;&quot;-R$ &quot;* #,##0.00_-;_-&quot;R$ &quot;* \-??_-;_-@_-"/>
    <numFmt numFmtId="169" formatCode="0.0"/>
    <numFmt numFmtId="170" formatCode="d/m/yyyy"/>
  </numFmts>
  <fonts count="26" x14ac:knownFonts="1">
    <font>
      <sz val="11"/>
      <color theme="1"/>
      <name val="Aptos Narrow"/>
      <family val="2"/>
      <charset val="1"/>
    </font>
    <font>
      <b/>
      <sz val="26"/>
      <color rgb="FF1D3557"/>
      <name val="Aptos Narrow"/>
      <family val="2"/>
      <charset val="1"/>
    </font>
    <font>
      <b/>
      <sz val="16"/>
      <color theme="0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4"/>
      <color theme="0"/>
      <name val="Aptos Narrow"/>
      <family val="2"/>
      <charset val="1"/>
    </font>
    <font>
      <b/>
      <sz val="18"/>
      <color theme="9" tint="-0.499984740745262"/>
      <name val="Aptos Display"/>
      <family val="2"/>
      <charset val="1"/>
    </font>
    <font>
      <sz val="18"/>
      <color theme="3"/>
      <name val="Aptos Display"/>
      <family val="2"/>
      <charset val="1"/>
    </font>
    <font>
      <b/>
      <sz val="18"/>
      <color theme="3"/>
      <name val="Aptos Display"/>
      <family val="2"/>
      <charset val="1"/>
    </font>
    <font>
      <sz val="8"/>
      <color theme="1"/>
      <name val="Aptos Narrow"/>
      <family val="2"/>
      <charset val="1"/>
    </font>
    <font>
      <b/>
      <sz val="8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i/>
      <sz val="9"/>
      <color rgb="FFFF0000"/>
      <name val="Aptos Narrow"/>
      <family val="2"/>
      <charset val="1"/>
    </font>
    <font>
      <i/>
      <sz val="11"/>
      <color rgb="FFFF0000"/>
      <name val="Aptos Narrow"/>
      <family val="2"/>
      <charset val="1"/>
    </font>
    <font>
      <b/>
      <sz val="18"/>
      <color rgb="FF002060"/>
      <name val="Aptos Display"/>
      <family val="2"/>
      <charset val="1"/>
    </font>
    <font>
      <sz val="11"/>
      <color rgb="FF002060"/>
      <name val="Aptos Narrow"/>
      <family val="2"/>
      <charset val="1"/>
    </font>
    <font>
      <b/>
      <sz val="10"/>
      <color theme="0"/>
      <name val="Aptos Narrow"/>
      <family val="2"/>
      <charset val="1"/>
    </font>
    <font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i/>
      <sz val="11"/>
      <color theme="1"/>
      <name val="Aptos Narrow"/>
      <family val="2"/>
      <charset val="1"/>
    </font>
    <font>
      <sz val="16"/>
      <color theme="9" tint="-0.499984740745262"/>
      <name val="Aptos Display"/>
      <family val="2"/>
      <charset val="1"/>
    </font>
    <font>
      <sz val="18"/>
      <color theme="9" tint="-0.499984740745262"/>
      <name val="Aptos Display"/>
      <family val="2"/>
      <charset val="1"/>
    </font>
    <font>
      <sz val="11"/>
      <color theme="1"/>
      <name val="Aptos Narrow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theme="9"/>
        <bgColor rgb="FF3B7D23"/>
      </patternFill>
    </fill>
    <fill>
      <patternFill patternType="solid">
        <fgColor theme="9" tint="0.39939573351237523"/>
        <bgColor rgb="FF8ED973"/>
      </patternFill>
    </fill>
    <fill>
      <patternFill patternType="solid">
        <fgColor theme="9" tint="0.39988402966399123"/>
        <bgColor rgb="FF8ED873"/>
      </patternFill>
    </fill>
    <fill>
      <patternFill patternType="solid">
        <fgColor rgb="FF1D3557"/>
        <bgColor rgb="FF0E2841"/>
      </patternFill>
    </fill>
    <fill>
      <patternFill patternType="solid">
        <fgColor rgb="FF457B9D"/>
        <bgColor rgb="FF0B77A0"/>
      </patternFill>
    </fill>
    <fill>
      <patternFill patternType="solid">
        <fgColor theme="6" tint="-0.499984740745262"/>
        <bgColor rgb="FF0E2841"/>
      </patternFill>
    </fill>
    <fill>
      <patternFill patternType="solid">
        <fgColor theme="7" tint="-0.249977111117893"/>
        <bgColor rgb="FF0066CC"/>
      </patternFill>
    </fill>
    <fill>
      <patternFill patternType="solid">
        <fgColor rgb="FFABC2E3"/>
        <bgColor rgb="FFBFBFBF"/>
      </patternFill>
    </fill>
    <fill>
      <patternFill patternType="solid">
        <fgColor theme="6" tint="0.39988402966399123"/>
        <bgColor rgb="FF4EA72E"/>
      </patternFill>
    </fill>
    <fill>
      <patternFill patternType="solid">
        <fgColor theme="7" tint="0.39988402966399123"/>
        <bgColor rgb="FFABC2E3"/>
      </patternFill>
    </fill>
    <fill>
      <patternFill patternType="solid">
        <fgColor theme="5" tint="0.79979857783745845"/>
        <bgColor rgb="FFF2CFEE"/>
      </patternFill>
    </fill>
    <fill>
      <patternFill patternType="solid">
        <fgColor theme="7" tint="0.79979857783745845"/>
        <bgColor rgb="FFCAEDFB"/>
      </patternFill>
    </fill>
    <fill>
      <patternFill patternType="solid">
        <fgColor theme="8" tint="0.79979857783745845"/>
        <bgColor rgb="FFFBE3D6"/>
      </patternFill>
    </fill>
    <fill>
      <patternFill patternType="solid">
        <fgColor rgb="FF002060"/>
        <bgColor rgb="FF0E2841"/>
      </patternFill>
    </fill>
    <fill>
      <patternFill patternType="solid">
        <fgColor theme="0"/>
        <bgColor rgb="FFFBE3D6"/>
      </patternFill>
    </fill>
    <fill>
      <patternFill patternType="solid">
        <fgColor rgb="FFCAEDFB"/>
        <bgColor rgb="FFCAEEFB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/>
      <right style="medium">
        <color theme="9" tint="-0.249977111117893"/>
      </right>
      <top/>
      <bottom/>
      <diagonal/>
    </border>
  </borders>
  <cellStyleXfs count="11">
    <xf numFmtId="0" fontId="0" fillId="0" borderId="0"/>
    <xf numFmtId="168" fontId="25" fillId="0" borderId="0" applyBorder="0" applyProtection="0"/>
    <xf numFmtId="9" fontId="25" fillId="0" borderId="0" applyBorder="0" applyProtection="0"/>
    <xf numFmtId="0" fontId="25" fillId="0" borderId="0"/>
    <xf numFmtId="9" fontId="25" fillId="0" borderId="0" applyBorder="0" applyProtection="0"/>
    <xf numFmtId="0" fontId="9" fillId="0" borderId="0" applyBorder="0" applyProtection="0"/>
    <xf numFmtId="0" fontId="5" fillId="2" borderId="0" applyBorder="0" applyProtection="0"/>
    <xf numFmtId="0" fontId="25" fillId="3" borderId="0" applyBorder="0" applyProtection="0"/>
    <xf numFmtId="0" fontId="9" fillId="0" borderId="0" applyBorder="0" applyProtection="0"/>
    <xf numFmtId="0" fontId="20" fillId="2" borderId="0" applyBorder="0" applyProtection="0"/>
    <xf numFmtId="0" fontId="21" fillId="4" borderId="0" applyBorder="0" applyProtection="0"/>
  </cellStyleXfs>
  <cellXfs count="109">
    <xf numFmtId="0" fontId="0" fillId="0" borderId="0" xfId="0"/>
    <xf numFmtId="0" fontId="25" fillId="5" borderId="0" xfId="3" applyFill="1"/>
    <xf numFmtId="0" fontId="25" fillId="0" borderId="0" xfId="3"/>
    <xf numFmtId="0" fontId="1" fillId="0" borderId="0" xfId="3" applyFont="1"/>
    <xf numFmtId="0" fontId="1" fillId="5" borderId="0" xfId="3" applyFont="1" applyFill="1"/>
    <xf numFmtId="0" fontId="3" fillId="0" borderId="0" xfId="3" applyFont="1" applyAlignment="1">
      <alignment horizontal="center"/>
    </xf>
    <xf numFmtId="0" fontId="4" fillId="0" borderId="0" xfId="3" applyFont="1"/>
    <xf numFmtId="0" fontId="5" fillId="5" borderId="1" xfId="3" applyFont="1" applyFill="1" applyBorder="1"/>
    <xf numFmtId="164" fontId="6" fillId="5" borderId="1" xfId="3" applyNumberFormat="1" applyFont="1" applyFill="1" applyBorder="1"/>
    <xf numFmtId="0" fontId="5" fillId="5" borderId="1" xfId="3" applyFont="1" applyFill="1" applyBorder="1" applyAlignment="1">
      <alignment horizontal="left"/>
    </xf>
    <xf numFmtId="10" fontId="6" fillId="5" borderId="1" xfId="4" applyNumberFormat="1" applyFont="1" applyFill="1" applyBorder="1" applyProtection="1"/>
    <xf numFmtId="0" fontId="5" fillId="0" borderId="0" xfId="3" applyFont="1"/>
    <xf numFmtId="10" fontId="5" fillId="0" borderId="0" xfId="3" applyNumberFormat="1" applyFont="1"/>
    <xf numFmtId="0" fontId="6" fillId="5" borderId="1" xfId="3" applyFont="1" applyFill="1" applyBorder="1" applyAlignment="1">
      <alignment vertical="center" wrapText="1"/>
    </xf>
    <xf numFmtId="0" fontId="6" fillId="8" borderId="0" xfId="3" applyFont="1" applyFill="1" applyAlignment="1">
      <alignment horizontal="center" vertical="center" wrapText="1"/>
    </xf>
    <xf numFmtId="0" fontId="25" fillId="9" borderId="4" xfId="3" applyFill="1" applyBorder="1"/>
    <xf numFmtId="167" fontId="25" fillId="11" borderId="4" xfId="4" applyNumberFormat="1" applyFill="1" applyBorder="1" applyProtection="1"/>
    <xf numFmtId="0" fontId="6" fillId="5" borderId="4" xfId="3" applyFont="1" applyFill="1" applyBorder="1"/>
    <xf numFmtId="167" fontId="6" fillId="8" borderId="4" xfId="4" applyNumberFormat="1" applyFont="1" applyFill="1" applyBorder="1" applyProtection="1"/>
    <xf numFmtId="0" fontId="25" fillId="9" borderId="3" xfId="3" applyFill="1" applyBorder="1" applyAlignment="1">
      <alignment horizontal="left" vertical="center" wrapText="1"/>
    </xf>
    <xf numFmtId="0" fontId="25" fillId="9" borderId="0" xfId="3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0" xfId="5" applyFont="1" applyBorder="1" applyAlignment="1" applyProtection="1">
      <alignment vertical="center"/>
    </xf>
    <xf numFmtId="0" fontId="0" fillId="0" borderId="0" xfId="0" applyAlignment="1">
      <alignment vertical="center"/>
    </xf>
    <xf numFmtId="0" fontId="10" fillId="0" borderId="0" xfId="5" applyFont="1" applyBorder="1" applyAlignment="1" applyProtection="1">
      <alignment horizontal="left" vertical="center"/>
    </xf>
    <xf numFmtId="0" fontId="11" fillId="12" borderId="7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2" fontId="11" fillId="12" borderId="8" xfId="0" applyNumberFormat="1" applyFont="1" applyFill="1" applyBorder="1" applyAlignment="1">
      <alignment vertical="center"/>
    </xf>
    <xf numFmtId="2" fontId="11" fillId="12" borderId="9" xfId="0" applyNumberFormat="1" applyFont="1" applyFill="1" applyBorder="1" applyAlignment="1">
      <alignment vertical="center"/>
    </xf>
    <xf numFmtId="0" fontId="6" fillId="2" borderId="0" xfId="6" applyFont="1" applyBorder="1" applyAlignment="1" applyProtection="1">
      <alignment horizontal="left" vertical="center"/>
    </xf>
    <xf numFmtId="0" fontId="6" fillId="2" borderId="0" xfId="6" applyFont="1" applyBorder="1" applyAlignment="1" applyProtection="1">
      <alignment horizontal="center"/>
    </xf>
    <xf numFmtId="0" fontId="12" fillId="2" borderId="0" xfId="6" applyFont="1" applyBorder="1" applyAlignment="1" applyProtection="1">
      <alignment horizontal="center" vertical="center"/>
    </xf>
    <xf numFmtId="17" fontId="6" fillId="2" borderId="0" xfId="6" applyNumberFormat="1" applyFont="1" applyBorder="1" applyAlignment="1" applyProtection="1">
      <alignment horizontal="center"/>
    </xf>
    <xf numFmtId="0" fontId="13" fillId="0" borderId="0" xfId="0" applyFont="1"/>
    <xf numFmtId="4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8" fontId="25" fillId="0" borderId="0" xfId="1" applyBorder="1" applyAlignment="1" applyProtection="1">
      <alignment horizontal="center"/>
    </xf>
    <xf numFmtId="168" fontId="25" fillId="0" borderId="10" xfId="1" applyBorder="1" applyAlignment="1" applyProtection="1">
      <alignment horizontal="center"/>
    </xf>
    <xf numFmtId="168" fontId="25" fillId="0" borderId="0" xfId="1" applyBorder="1" applyProtection="1"/>
    <xf numFmtId="168" fontId="25" fillId="13" borderId="0" xfId="1" applyFill="1" applyBorder="1" applyProtection="1"/>
    <xf numFmtId="168" fontId="14" fillId="14" borderId="0" xfId="1" applyFont="1" applyFill="1" applyBorder="1" applyProtection="1"/>
    <xf numFmtId="4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8" fontId="25" fillId="0" borderId="10" xfId="1" applyBorder="1" applyAlignment="1" applyProtection="1">
      <alignment horizontal="center" vertical="center"/>
    </xf>
    <xf numFmtId="4" fontId="0" fillId="0" borderId="0" xfId="0" applyNumberFormat="1"/>
    <xf numFmtId="168" fontId="25" fillId="0" borderId="0" xfId="1" applyBorder="1" applyAlignment="1" applyProtection="1">
      <alignment horizontal="center" vertical="center"/>
    </xf>
    <xf numFmtId="4" fontId="13" fillId="3" borderId="0" xfId="7" applyNumberFormat="1" applyFont="1" applyBorder="1" applyProtection="1"/>
    <xf numFmtId="10" fontId="13" fillId="3" borderId="0" xfId="7" applyNumberFormat="1" applyFont="1" applyBorder="1" applyProtection="1"/>
    <xf numFmtId="168" fontId="13" fillId="3" borderId="0" xfId="1" applyFont="1" applyFill="1" applyBorder="1" applyProtection="1"/>
    <xf numFmtId="0" fontId="15" fillId="0" borderId="0" xfId="0" applyFont="1"/>
    <xf numFmtId="0" fontId="16" fillId="0" borderId="0" xfId="0" applyFont="1"/>
    <xf numFmtId="9" fontId="13" fillId="3" borderId="0" xfId="2" applyFont="1" applyFill="1" applyBorder="1" applyProtection="1"/>
    <xf numFmtId="169" fontId="11" fillId="12" borderId="8" xfId="0" applyNumberFormat="1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7" fillId="0" borderId="0" xfId="5" applyFont="1" applyBorder="1" applyAlignment="1" applyProtection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17" fontId="6" fillId="15" borderId="0" xfId="6" applyNumberFormat="1" applyFont="1" applyFill="1" applyBorder="1" applyAlignment="1" applyProtection="1">
      <alignment horizontal="center"/>
    </xf>
    <xf numFmtId="168" fontId="14" fillId="0" borderId="0" xfId="1" applyFont="1" applyBorder="1" applyProtection="1"/>
    <xf numFmtId="168" fontId="14" fillId="13" borderId="0" xfId="1" applyFont="1" applyFill="1" applyBorder="1" applyProtection="1"/>
    <xf numFmtId="168" fontId="14" fillId="16" borderId="0" xfId="1" applyFont="1" applyFill="1" applyBorder="1" applyProtection="1"/>
    <xf numFmtId="168" fontId="6" fillId="15" borderId="0" xfId="1" applyFont="1" applyFill="1" applyBorder="1" applyProtection="1"/>
    <xf numFmtId="0" fontId="5" fillId="0" borderId="0" xfId="0" applyFont="1"/>
    <xf numFmtId="9" fontId="6" fillId="15" borderId="0" xfId="2" applyFont="1" applyFill="1" applyBorder="1" applyProtection="1"/>
    <xf numFmtId="0" fontId="10" fillId="0" borderId="0" xfId="8" applyFont="1" applyBorder="1" applyProtection="1"/>
    <xf numFmtId="3" fontId="11" fillId="12" borderId="8" xfId="0" applyNumberFormat="1" applyFont="1" applyFill="1" applyBorder="1"/>
    <xf numFmtId="0" fontId="9" fillId="0" borderId="0" xfId="8" applyBorder="1" applyProtection="1"/>
    <xf numFmtId="0" fontId="6" fillId="2" borderId="0" xfId="9" applyFont="1" applyBorder="1" applyAlignment="1" applyProtection="1">
      <alignment horizontal="center"/>
    </xf>
    <xf numFmtId="17" fontId="6" fillId="2" borderId="0" xfId="9" applyNumberFormat="1" applyFont="1" applyBorder="1" applyAlignment="1" applyProtection="1">
      <alignment horizontal="center"/>
    </xf>
    <xf numFmtId="4" fontId="0" fillId="13" borderId="0" xfId="0" applyNumberFormat="1" applyFill="1"/>
    <xf numFmtId="4" fontId="13" fillId="4" borderId="0" xfId="10" applyNumberFormat="1" applyFont="1" applyBorder="1" applyProtection="1"/>
    <xf numFmtId="10" fontId="13" fillId="4" borderId="0" xfId="10" applyNumberFormat="1" applyFont="1" applyBorder="1" applyProtection="1"/>
    <xf numFmtId="168" fontId="13" fillId="4" borderId="0" xfId="1" applyFont="1" applyFill="1" applyBorder="1" applyProtection="1"/>
    <xf numFmtId="165" fontId="0" fillId="0" borderId="0" xfId="0" applyNumberFormat="1"/>
    <xf numFmtId="165" fontId="0" fillId="13" borderId="0" xfId="0" applyNumberFormat="1" applyFill="1"/>
    <xf numFmtId="0" fontId="22" fillId="0" borderId="0" xfId="0" applyFont="1"/>
    <xf numFmtId="4" fontId="0" fillId="0" borderId="0" xfId="0" applyNumberFormat="1" applyAlignment="1">
      <alignment horizontal="center"/>
    </xf>
    <xf numFmtId="168" fontId="0" fillId="13" borderId="0" xfId="0" applyNumberFormat="1" applyFill="1"/>
    <xf numFmtId="168" fontId="25" fillId="17" borderId="0" xfId="1" applyFill="1" applyBorder="1" applyProtection="1"/>
    <xf numFmtId="0" fontId="23" fillId="0" borderId="0" xfId="5" applyFont="1" applyBorder="1" applyAlignment="1" applyProtection="1">
      <alignment vertical="center"/>
    </xf>
    <xf numFmtId="168" fontId="0" fillId="0" borderId="0" xfId="0" applyNumberFormat="1"/>
    <xf numFmtId="0" fontId="24" fillId="0" borderId="0" xfId="5" applyFont="1" applyBorder="1" applyAlignment="1" applyProtection="1">
      <alignment vertical="center"/>
    </xf>
    <xf numFmtId="170" fontId="0" fillId="0" borderId="0" xfId="0" applyNumberFormat="1"/>
    <xf numFmtId="0" fontId="22" fillId="0" borderId="0" xfId="0" applyFont="1" applyAlignment="1">
      <alignment vertical="center"/>
    </xf>
    <xf numFmtId="0" fontId="2" fillId="5" borderId="0" xfId="3" applyFont="1" applyFill="1" applyAlignment="1">
      <alignment horizontal="center" vertical="center"/>
    </xf>
    <xf numFmtId="0" fontId="7" fillId="6" borderId="0" xfId="3" applyFont="1" applyFill="1" applyAlignment="1">
      <alignment horizontal="center" vertical="center"/>
    </xf>
    <xf numFmtId="0" fontId="6" fillId="7" borderId="2" xfId="3" applyFont="1" applyFill="1" applyBorder="1" applyAlignment="1">
      <alignment horizontal="center" vertical="center" wrapText="1"/>
    </xf>
    <xf numFmtId="0" fontId="6" fillId="7" borderId="3" xfId="3" applyFont="1" applyFill="1" applyBorder="1" applyAlignment="1">
      <alignment horizontal="center" vertical="center" wrapText="1"/>
    </xf>
    <xf numFmtId="165" fontId="25" fillId="10" borderId="1" xfId="3" applyNumberFormat="1" applyFill="1" applyBorder="1" applyAlignment="1">
      <alignment horizontal="center"/>
    </xf>
    <xf numFmtId="166" fontId="25" fillId="10" borderId="1" xfId="3" applyNumberFormat="1" applyFill="1" applyBorder="1" applyAlignment="1">
      <alignment horizontal="center"/>
    </xf>
    <xf numFmtId="164" fontId="5" fillId="7" borderId="5" xfId="3" applyNumberFormat="1" applyFont="1" applyFill="1" applyBorder="1" applyAlignment="1">
      <alignment horizontal="center"/>
    </xf>
    <xf numFmtId="164" fontId="5" fillId="7" borderId="6" xfId="3" applyNumberFormat="1" applyFont="1" applyFill="1" applyBorder="1" applyAlignment="1">
      <alignment horizontal="center"/>
    </xf>
    <xf numFmtId="0" fontId="3" fillId="9" borderId="0" xfId="3" applyFont="1" applyFill="1" applyAlignment="1">
      <alignment horizontal="center"/>
    </xf>
    <xf numFmtId="0" fontId="6" fillId="5" borderId="3" xfId="3" applyFont="1" applyFill="1" applyBorder="1" applyAlignment="1">
      <alignment horizontal="center" vertical="center" wrapText="1"/>
    </xf>
    <xf numFmtId="0" fontId="25" fillId="9" borderId="4" xfId="3" applyFill="1" applyBorder="1" applyAlignment="1">
      <alignment horizontal="left" wrapText="1"/>
    </xf>
    <xf numFmtId="0" fontId="6" fillId="5" borderId="6" xfId="3" applyFont="1" applyFill="1" applyBorder="1" applyAlignment="1">
      <alignment horizontal="center"/>
    </xf>
    <xf numFmtId="0" fontId="0" fillId="0" borderId="0" xfId="0" applyAlignment="1">
      <alignment horizontal="left"/>
    </xf>
    <xf numFmtId="0" fontId="13" fillId="3" borderId="0" xfId="7" applyFont="1" applyBorder="1" applyAlignment="1" applyProtection="1">
      <alignment horizontal="left" vertical="center"/>
    </xf>
    <xf numFmtId="0" fontId="6" fillId="15" borderId="0" xfId="6" applyFont="1" applyFill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9" fillId="15" borderId="0" xfId="7" applyFont="1" applyFill="1" applyBorder="1" applyAlignment="1" applyProtection="1">
      <alignment horizontal="center"/>
    </xf>
    <xf numFmtId="0" fontId="6" fillId="15" borderId="0" xfId="7" applyFont="1" applyFill="1" applyBorder="1" applyAlignment="1" applyProtection="1">
      <alignment horizontal="left" vertical="center"/>
    </xf>
    <xf numFmtId="0" fontId="6" fillId="15" borderId="0" xfId="7" applyFont="1" applyFill="1" applyBorder="1" applyAlignment="1" applyProtection="1">
      <alignment horizontal="center"/>
    </xf>
    <xf numFmtId="0" fontId="13" fillId="4" borderId="0" xfId="10" applyFont="1" applyBorder="1" applyAlignment="1" applyProtection="1">
      <alignment horizontal="center"/>
    </xf>
    <xf numFmtId="0" fontId="11" fillId="12" borderId="7" xfId="0" applyFont="1" applyFill="1" applyBorder="1" applyAlignment="1">
      <alignment horizontal="center"/>
    </xf>
    <xf numFmtId="0" fontId="6" fillId="2" borderId="0" xfId="9" applyFont="1" applyBorder="1" applyAlignment="1" applyProtection="1">
      <alignment horizontal="center"/>
    </xf>
  </cellXfs>
  <cellStyles count="11">
    <cellStyle name="Excel Built-in 60% - Accent6" xfId="10" xr:uid="{00000000-0005-0000-0000-00000D000000}"/>
    <cellStyle name="Excel Built-in 60% - Accent6 1" xfId="7" xr:uid="{00000000-0005-0000-0000-00000A000000}"/>
    <cellStyle name="Excel Built-in Accent6" xfId="9" xr:uid="{00000000-0005-0000-0000-00000C000000}"/>
    <cellStyle name="Excel Built-in Accent6 2" xfId="6" xr:uid="{00000000-0005-0000-0000-000009000000}"/>
    <cellStyle name="Excel Built-in Title" xfId="8" xr:uid="{00000000-0005-0000-0000-00000B000000}"/>
    <cellStyle name="Excel Built-in Title 3" xfId="5" xr:uid="{00000000-0005-0000-0000-000008000000}"/>
    <cellStyle name="Moeda" xfId="1" builtinId="4"/>
    <cellStyle name="Normal" xfId="0" builtinId="0"/>
    <cellStyle name="Normal 2" xfId="3" xr:uid="{00000000-0005-0000-0000-000006000000}"/>
    <cellStyle name="Porcentagem" xfId="2" builtinId="5"/>
    <cellStyle name="Porcentagem 2" xfId="4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47D45A"/>
      <rgbColor rgb="FF0000FF"/>
      <rgbColor rgb="FFFFFF00"/>
      <rgbColor rgb="FFFF00FF"/>
      <rgbColor rgb="FF00FFFF"/>
      <rgbColor rgb="FF800000"/>
      <rgbColor rgb="FF3B7D23"/>
      <rgbColor rgb="FF000080"/>
      <rgbColor rgb="FF808000"/>
      <rgbColor rgb="FF800080"/>
      <rgbColor rgb="FF0B77A0"/>
      <rgbColor rgb="FFBFBFBF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AEDFB"/>
      <rgbColor rgb="FFCCFFCC"/>
      <rgbColor rgb="FFFFFF99"/>
      <rgbColor rgb="FFABC2E3"/>
      <rgbColor rgb="FFFF99CC"/>
      <rgbColor rgb="FFCC99FF"/>
      <rgbColor rgb="FFFFCC99"/>
      <rgbColor rgb="FF3366FF"/>
      <rgbColor rgb="FF61CBF4"/>
      <rgbColor rgb="FF8ED873"/>
      <rgbColor rgb="FFFFCC00"/>
      <rgbColor rgb="FFFF9900"/>
      <rgbColor rgb="FFFF6600"/>
      <rgbColor rgb="FF457B9D"/>
      <rgbColor rgb="FF8ED973"/>
      <rgbColor rgb="FF002060"/>
      <rgbColor rgb="FF4EA72E"/>
      <rgbColor rgb="FF0C3512"/>
      <rgbColor rgb="FF275417"/>
      <rgbColor rgb="FF993300"/>
      <rgbColor rgb="FF993366"/>
      <rgbColor rgb="FF0E2841"/>
      <rgbColor rgb="FF1D35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2325898167975256"/>
          <c:y val="9.009586886043823E-2"/>
          <c:w val="0.5421508446347848"/>
          <c:h val="0.79221228477310468"/>
        </c:manualLayout>
      </c:layout>
      <c:doughnutChart>
        <c:varyColors val="1"/>
        <c:ser>
          <c:idx val="0"/>
          <c:order val="0"/>
          <c:spPr>
            <a:solidFill>
              <a:srgbClr val="156082"/>
            </a:solidFill>
            <a:ln w="28440">
              <a:noFill/>
            </a:ln>
          </c:spPr>
          <c:dPt>
            <c:idx val="0"/>
            <c:bubble3D val="0"/>
            <c:spPr>
              <a:solidFill>
                <a:srgbClr val="BFBFBF"/>
              </a:solidFill>
              <a:ln w="2844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BEE-47FC-ACAF-61D68D07CAFC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2844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BEE-47FC-ACAF-61D68D07CAF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EE-47FC-ACAF-61D68D07CAF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EE-47FC-ACAF-61D68D07CA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Resumo!$D$9:$D$10</c:f>
              <c:numCache>
                <c:formatCode>"R$ "#,##0.00</c:formatCode>
                <c:ptCount val="2"/>
                <c:pt idx="0">
                  <c:v>-12317232.541137699</c:v>
                </c:pt>
                <c:pt idx="1">
                  <c:v>-6634232.289694001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EE-47FC-ACAF-61D68D07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38160">
          <a:noFill/>
        </a:ln>
      </c:spPr>
    </c:plotArea>
    <c:plotVisOnly val="1"/>
    <c:dispBlanksAs val="gap"/>
    <c:showDLblsOverMax val="1"/>
  </c:chart>
  <c:spPr>
    <a:noFill/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704880</xdr:colOff>
      <xdr:row>7</xdr:row>
      <xdr:rowOff>28440</xdr:rowOff>
    </xdr:from>
    <xdr:to>
      <xdr:col>10</xdr:col>
      <xdr:colOff>837720</xdr:colOff>
      <xdr:row>10</xdr:row>
      <xdr:rowOff>85320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424800" y="1895400"/>
          <a:ext cx="1848600" cy="609120"/>
        </a:xfrm>
        <a:prstGeom prst="rect">
          <a:avLst/>
        </a:prstGeom>
        <a:solidFill>
          <a:srgbClr val="E63946"/>
        </a:solidFill>
        <a:ln w="19050">
          <a:solidFill>
            <a:srgbClr val="FFFFFF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</xdr:col>
      <xdr:colOff>57240</xdr:colOff>
      <xdr:row>7</xdr:row>
      <xdr:rowOff>47520</xdr:rowOff>
    </xdr:from>
    <xdr:to>
      <xdr:col>7</xdr:col>
      <xdr:colOff>190080</xdr:colOff>
      <xdr:row>10</xdr:row>
      <xdr:rowOff>104400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203520" y="1914480"/>
          <a:ext cx="1848600" cy="609120"/>
        </a:xfrm>
        <a:prstGeom prst="rect">
          <a:avLst/>
        </a:prstGeom>
        <a:solidFill>
          <a:srgbClr val="457B9D"/>
        </a:solidFill>
        <a:ln w="19050">
          <a:solidFill>
            <a:srgbClr val="FFFFFF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6</xdr:col>
      <xdr:colOff>295200</xdr:colOff>
      <xdr:row>4</xdr:row>
      <xdr:rowOff>53340</xdr:rowOff>
    </xdr:from>
    <xdr:to>
      <xdr:col>9</xdr:col>
      <xdr:colOff>731520</xdr:colOff>
      <xdr:row>16</xdr:row>
      <xdr:rowOff>114120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344820</xdr:colOff>
      <xdr:row>8</xdr:row>
      <xdr:rowOff>34380</xdr:rowOff>
    </xdr:from>
    <xdr:to>
      <xdr:col>8</xdr:col>
      <xdr:colOff>678180</xdr:colOff>
      <xdr:row>10</xdr:row>
      <xdr:rowOff>100620</xdr:rowOff>
    </xdr:to>
    <xdr:sp macro="" textlink="$D$11">
      <xdr:nvSpPr>
        <xdr:cNvPr id="5" name="CaixaDeTexto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283080" y="2061300"/>
          <a:ext cx="1308720" cy="43200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2000" b="1" u="none" strike="noStrike">
              <a:solidFill>
                <a:srgbClr val="1D3557"/>
              </a:solidFill>
              <a:effectLst/>
              <a:uFillTx/>
              <a:latin typeface="Calibri"/>
            </a:rPr>
            <a:t>49,26%</a:t>
          </a:r>
          <a:endParaRPr lang="pt-BR" sz="2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510480</xdr:colOff>
      <xdr:row>10</xdr:row>
      <xdr:rowOff>5760</xdr:rowOff>
    </xdr:from>
    <xdr:to>
      <xdr:col>8</xdr:col>
      <xdr:colOff>538560</xdr:colOff>
      <xdr:row>12</xdr:row>
      <xdr:rowOff>34800</xdr:rowOff>
    </xdr:to>
    <xdr:sp macro="" textlink="">
      <xdr:nvSpPr>
        <xdr:cNvPr id="6" name="CaixaDeTexto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448740" y="2398440"/>
          <a:ext cx="1003440" cy="39480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900" b="0" u="none" strike="noStrike">
              <a:solidFill>
                <a:srgbClr val="1D3557"/>
              </a:solidFill>
              <a:effectLst/>
              <a:uFillTx/>
              <a:latin typeface="Aptos Narrow"/>
            </a:rPr>
            <a:t>Realizado x Provisionado</a:t>
          </a:r>
          <a:endParaRPr lang="pt-BR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5</xdr:col>
      <xdr:colOff>512280</xdr:colOff>
      <xdr:row>7</xdr:row>
      <xdr:rowOff>118080</xdr:rowOff>
    </xdr:from>
    <xdr:to>
      <xdr:col>7</xdr:col>
      <xdr:colOff>159480</xdr:colOff>
      <xdr:row>9</xdr:row>
      <xdr:rowOff>98640</xdr:rowOff>
    </xdr:to>
    <xdr:sp macro="" textlink="$D$9">
      <xdr:nvSpPr>
        <xdr:cNvPr id="7" name="CaixaDeTexto 1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658560" y="1985040"/>
          <a:ext cx="1362960" cy="3520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400" b="1" u="none" strike="noStrike">
              <a:solidFill>
                <a:srgbClr val="FFFFFF"/>
              </a:solidFill>
              <a:effectLst/>
              <a:uFillTx/>
              <a:latin typeface="Aptos Narrow"/>
            </a:rPr>
            <a:t>-R$ 12.317.232,54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114480</xdr:colOff>
      <xdr:row>7</xdr:row>
      <xdr:rowOff>104760</xdr:rowOff>
    </xdr:from>
    <xdr:to>
      <xdr:col>5</xdr:col>
      <xdr:colOff>475920</xdr:colOff>
      <xdr:row>9</xdr:row>
      <xdr:rowOff>85320</xdr:rowOff>
    </xdr:to>
    <xdr:pic>
      <xdr:nvPicPr>
        <xdr:cNvPr id="8" name="Gráfico 15" descr="Cofrinho com preenchimento sólid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6260760" y="1971720"/>
          <a:ext cx="361440" cy="3520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752400</xdr:colOff>
      <xdr:row>9</xdr:row>
      <xdr:rowOff>28440</xdr:rowOff>
    </xdr:from>
    <xdr:to>
      <xdr:col>7</xdr:col>
      <xdr:colOff>294840</xdr:colOff>
      <xdr:row>10</xdr:row>
      <xdr:rowOff>9000</xdr:rowOff>
    </xdr:to>
    <xdr:sp macro="" textlink="">
      <xdr:nvSpPr>
        <xdr:cNvPr id="9" name="CaixaDeTexto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898680" y="2266920"/>
          <a:ext cx="1258200" cy="1612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pt-BR" sz="900" b="0" u="none" strike="noStrike">
              <a:solidFill>
                <a:schemeClr val="lt1"/>
              </a:solidFill>
              <a:effectLst/>
              <a:uFillTx/>
              <a:latin typeface="Aptos Narrow"/>
            </a:rPr>
            <a:t>Total Provisionado</a:t>
          </a:r>
          <a:endParaRPr lang="pt-BR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pt-BR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830520</xdr:colOff>
      <xdr:row>7</xdr:row>
      <xdr:rowOff>78120</xdr:rowOff>
    </xdr:from>
    <xdr:to>
      <xdr:col>10</xdr:col>
      <xdr:colOff>477720</xdr:colOff>
      <xdr:row>9</xdr:row>
      <xdr:rowOff>52920</xdr:rowOff>
    </xdr:to>
    <xdr:sp macro="" textlink="$D$10">
      <xdr:nvSpPr>
        <xdr:cNvPr id="10" name="CaixaDeTexto 1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550440" y="1945080"/>
          <a:ext cx="1362960" cy="3463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400" b="1" u="none" strike="noStrike">
              <a:solidFill>
                <a:srgbClr val="FFFFFF"/>
              </a:solidFill>
              <a:effectLst/>
              <a:uFillTx/>
              <a:latin typeface="Aptos Narrow"/>
            </a:rPr>
            <a:t>-R$ 6.067.352,40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56520</xdr:colOff>
      <xdr:row>9</xdr:row>
      <xdr:rowOff>11520</xdr:rowOff>
    </xdr:from>
    <xdr:to>
      <xdr:col>10</xdr:col>
      <xdr:colOff>18000</xdr:colOff>
      <xdr:row>10</xdr:row>
      <xdr:rowOff>11160</xdr:rowOff>
    </xdr:to>
    <xdr:sp macro="" textlink="">
      <xdr:nvSpPr>
        <xdr:cNvPr id="11" name="CaixaDeTexto 1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9634320" y="2250000"/>
          <a:ext cx="819360" cy="1803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pt-BR" sz="900" b="0" u="none" strike="noStrike">
              <a:solidFill>
                <a:schemeClr val="lt1"/>
              </a:solidFill>
              <a:effectLst/>
              <a:uFillTx/>
              <a:latin typeface="Aptos Narrow"/>
            </a:rPr>
            <a:t>Custo Total</a:t>
          </a:r>
          <a:endParaRPr lang="pt-BR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438120</xdr:colOff>
      <xdr:row>7</xdr:row>
      <xdr:rowOff>82080</xdr:rowOff>
    </xdr:from>
    <xdr:to>
      <xdr:col>10</xdr:col>
      <xdr:colOff>742680</xdr:colOff>
      <xdr:row>9</xdr:row>
      <xdr:rowOff>7560</xdr:rowOff>
    </xdr:to>
    <xdr:pic>
      <xdr:nvPicPr>
        <xdr:cNvPr id="12" name="Gráfico 19" descr="Moedas com preenchimento sólid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/>
      </xdr:blipFill>
      <xdr:spPr>
        <a:xfrm>
          <a:off x="10873800" y="1949040"/>
          <a:ext cx="304560" cy="297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10</xdr:col>
      <xdr:colOff>546840</xdr:colOff>
      <xdr:row>9</xdr:row>
      <xdr:rowOff>47520</xdr:rowOff>
    </xdr:from>
    <xdr:to>
      <xdr:col>10</xdr:col>
      <xdr:colOff>679680</xdr:colOff>
      <xdr:row>10</xdr:row>
      <xdr:rowOff>35640</xdr:rowOff>
    </xdr:to>
    <xdr:sp macro="" textlink="">
      <xdr:nvSpPr>
        <xdr:cNvPr id="13" name="Seta: para Baixo 2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0982520" y="2286000"/>
          <a:ext cx="132840" cy="168840"/>
        </a:xfrm>
        <a:prstGeom prst="downArrow">
          <a:avLst>
            <a:gd name="adj1" fmla="val 50000"/>
            <a:gd name="adj2" fmla="val 50000"/>
          </a:avLst>
        </a:prstGeom>
        <a:solidFill>
          <a:srgbClr val="FFFFFF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9</xdr:col>
      <xdr:colOff>18360</xdr:colOff>
      <xdr:row>7</xdr:row>
      <xdr:rowOff>38160</xdr:rowOff>
    </xdr:from>
    <xdr:to>
      <xdr:col>10</xdr:col>
      <xdr:colOff>523440</xdr:colOff>
      <xdr:row>9</xdr:row>
      <xdr:rowOff>18720</xdr:rowOff>
    </xdr:to>
    <xdr:sp macro="" textlink="#REF!">
      <xdr:nvSpPr>
        <xdr:cNvPr id="14" name="CaixaDeTexto 2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596160" y="1905120"/>
          <a:ext cx="1362960" cy="3520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u="none" strike="noStrike">
              <a:solidFill>
                <a:srgbClr val="FFFFFF"/>
              </a:solidFill>
              <a:effectLst/>
              <a:uFillTx/>
              <a:latin typeface="Aptos Narrow"/>
            </a:rPr>
            <a:t>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523800</xdr:colOff>
      <xdr:row>11</xdr:row>
      <xdr:rowOff>123840</xdr:rowOff>
    </xdr:from>
    <xdr:to>
      <xdr:col>10</xdr:col>
      <xdr:colOff>780480</xdr:colOff>
      <xdr:row>13</xdr:row>
      <xdr:rowOff>3240</xdr:rowOff>
    </xdr:to>
    <xdr:pic>
      <xdr:nvPicPr>
        <xdr:cNvPr id="15" name="Gráfico 29" descr="Arquivo de caixa de arquivamento com preenchimento sólid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/>
      </xdr:blipFill>
      <xdr:spPr>
        <a:xfrm>
          <a:off x="10959480" y="2724120"/>
          <a:ext cx="256680" cy="24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380880</xdr:colOff>
      <xdr:row>12</xdr:row>
      <xdr:rowOff>123840</xdr:rowOff>
    </xdr:from>
    <xdr:to>
      <xdr:col>10</xdr:col>
      <xdr:colOff>637560</xdr:colOff>
      <xdr:row>14</xdr:row>
      <xdr:rowOff>3600</xdr:rowOff>
    </xdr:to>
    <xdr:pic>
      <xdr:nvPicPr>
        <xdr:cNvPr id="16" name="Gráfico 30" descr="Arquivo de caixa de arquivamento com preenchimento sólid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/>
      </xdr:blipFill>
      <xdr:spPr>
        <a:xfrm>
          <a:off x="10816560" y="2905200"/>
          <a:ext cx="256680" cy="24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0</xdr:row>
      <xdr:rowOff>99000</xdr:rowOff>
    </xdr:from>
    <xdr:to>
      <xdr:col>0</xdr:col>
      <xdr:colOff>1332000</xdr:colOff>
      <xdr:row>3</xdr:row>
      <xdr:rowOff>81000</xdr:rowOff>
    </xdr:to>
    <xdr:pic>
      <xdr:nvPicPr>
        <xdr:cNvPr id="17" name="Picture 2" descr="Santa Casa - BA Logo PNG Vector (AI) Free Download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8">
          <a:lum bright="70000" contrast="-70000"/>
        </a:blip>
        <a:stretch/>
      </xdr:blipFill>
      <xdr:spPr>
        <a:xfrm>
          <a:off x="266760" y="99000"/>
          <a:ext cx="1065240" cy="858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B939B94\Utilidades%202026%20-%20Or&#231;amento%20e%20Rateio.re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ção"/>
      <sheetName val="Resumo para Orçamento"/>
      <sheetName val="Glossário"/>
      <sheetName val="IPCA Escolhido"/>
      <sheetName val="Previsão IPCA"/>
      <sheetName val="Despesas - HSI"/>
      <sheetName val="Despesas - HMS"/>
      <sheetName val="Despesas - Pupileira"/>
      <sheetName val="Despesas - C. Álvaro Lemos"/>
      <sheetName val="Despesas - CCS"/>
      <sheetName val="Despesas - HMC"/>
      <sheetName val="Despesas - FSC (Campus Pupi.)"/>
      <sheetName val="Despesa Energia - Demais Unidad"/>
      <sheetName val="Rateio UFV - Faturamento (R$)"/>
      <sheetName val="Despesa Água - Demais unidades"/>
      <sheetName val="M.C. Água - HSI"/>
      <sheetName val="M.C. GLP - HSI"/>
      <sheetName val="M.C. Energia Elétrica - ACL"/>
      <sheetName val="M.C. Energia Elétrica - ACR"/>
      <sheetName val="Rateio Água GW - HSI"/>
      <sheetName val="Rateio Água Embasa - HSI"/>
      <sheetName val="Rateio Requali - HSI"/>
      <sheetName val="Rateio Água Lavand. - HSI"/>
      <sheetName val="Rateio Energia - HSI"/>
      <sheetName val="Rateio Energia - HMS"/>
      <sheetName val="Rateio Água - HMS"/>
      <sheetName val="Rateio Energia - Anexo HSI"/>
      <sheetName val="Rateio Pupileira"/>
      <sheetName val="Rateio GLP - HSI"/>
      <sheetName val="Fluxo Completo - UFV"/>
      <sheetName val="PlanilhaBase"/>
      <sheetName val="PlanilhaFormula"/>
      <sheetName val="TabDinamica"/>
      <sheetName val="M.C. Novas Unidades"/>
      <sheetName val="CC Ativos - Tratado"/>
      <sheetName val="CC Ativos 22.11.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1">
          <cell r="H81">
            <v>7646.94</v>
          </cell>
        </row>
        <row r="82">
          <cell r="G82">
            <v>-1469.9317635072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4577891011" displayName="Tabela14577891011" ref="H37:I49" totalsRowShown="0">
  <autoFilter ref="H37:I49" xr:uid="{00000000-0009-0000-0100-000001000000}">
    <filterColumn colId="0" hiddenButton="1"/>
    <filterColumn colId="1" hiddenButton="1"/>
  </autoFilter>
  <tableColumns count="2">
    <tableColumn id="1" xr3:uid="{00000000-0010-0000-0000-000001000000}" name="Mês Ref."/>
    <tableColumn id="2" xr3:uid="{00000000-0010-0000-0000-000002000000}" name="COELB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zoomScaleNormal="100" workbookViewId="0">
      <selection activeCell="C7" sqref="C7"/>
    </sheetView>
  </sheetViews>
  <sheetFormatPr defaultColWidth="8.88671875" defaultRowHeight="14.25" customHeight="1" x14ac:dyDescent="0.3"/>
  <cols>
    <col min="1" max="1" width="24.5546875" style="1" customWidth="1"/>
    <col min="2" max="2" width="7.21875" style="2" customWidth="1"/>
    <col min="3" max="3" width="37.88671875" style="2" customWidth="1"/>
    <col min="4" max="4" width="18" style="2" customWidth="1"/>
    <col min="5" max="11" width="14.21875" style="2" customWidth="1"/>
    <col min="12" max="16384" width="8.88671875" style="2"/>
  </cols>
  <sheetData>
    <row r="1" spans="3:11" ht="50.25" customHeight="1" x14ac:dyDescent="0.65">
      <c r="C1" s="3" t="s">
        <v>0</v>
      </c>
    </row>
    <row r="2" spans="3:11" s="1" customFormat="1" ht="4.5" customHeight="1" x14ac:dyDescent="0.65">
      <c r="C2" s="4"/>
    </row>
    <row r="4" spans="3:11" ht="29.25" customHeight="1" x14ac:dyDescent="0.3">
      <c r="C4" s="86" t="s">
        <v>1</v>
      </c>
      <c r="D4" s="86"/>
      <c r="E4" s="86"/>
      <c r="F4" s="86"/>
      <c r="G4" s="86"/>
      <c r="H4" s="86"/>
      <c r="I4" s="86"/>
      <c r="J4" s="86"/>
      <c r="K4" s="86"/>
    </row>
    <row r="5" spans="3:11" ht="20.25" customHeight="1" x14ac:dyDescent="0.35">
      <c r="C5" s="5"/>
      <c r="D5" s="5"/>
      <c r="E5" s="5"/>
      <c r="F5" s="5"/>
      <c r="G5" s="5"/>
      <c r="H5" s="5"/>
      <c r="I5" s="5"/>
      <c r="J5" s="5"/>
      <c r="K5" s="5"/>
    </row>
    <row r="8" spans="3:11" ht="15.6" x14ac:dyDescent="0.3">
      <c r="C8" s="6" t="s">
        <v>2</v>
      </c>
    </row>
    <row r="9" spans="3:11" ht="14.4" x14ac:dyDescent="0.3">
      <c r="C9" s="7" t="s">
        <v>3</v>
      </c>
      <c r="D9" s="8">
        <f>D47</f>
        <v>-12317232.541137699</v>
      </c>
    </row>
    <row r="10" spans="3:11" ht="14.4" x14ac:dyDescent="0.3">
      <c r="C10" s="7" t="s">
        <v>4</v>
      </c>
      <c r="D10" s="8">
        <f>F47</f>
        <v>-6634232.289694001</v>
      </c>
    </row>
    <row r="11" spans="3:11" ht="14.4" x14ac:dyDescent="0.3">
      <c r="C11" s="9" t="s">
        <v>5</v>
      </c>
      <c r="D11" s="10">
        <f>D10/D9</f>
        <v>0.53861387024533847</v>
      </c>
    </row>
    <row r="12" spans="3:11" ht="14.4" x14ac:dyDescent="0.3">
      <c r="E12" s="11">
        <v>1</v>
      </c>
    </row>
    <row r="15" spans="3:11" ht="14.4" x14ac:dyDescent="0.3">
      <c r="D15" s="12">
        <f>1-D11</f>
        <v>0.46138612975466153</v>
      </c>
    </row>
    <row r="18" spans="3:11" ht="25.5" customHeight="1" x14ac:dyDescent="0.3">
      <c r="C18" s="87" t="s">
        <v>6</v>
      </c>
      <c r="D18" s="87"/>
      <c r="E18" s="87"/>
      <c r="F18" s="87"/>
      <c r="G18" s="87"/>
      <c r="H18" s="87"/>
      <c r="I18" s="87"/>
      <c r="J18" s="87"/>
      <c r="K18" s="87"/>
    </row>
    <row r="21" spans="3:11" ht="35.25" customHeight="1" x14ac:dyDescent="0.3">
      <c r="C21" s="13" t="s">
        <v>7</v>
      </c>
      <c r="D21" s="88" t="s">
        <v>8</v>
      </c>
      <c r="E21" s="88"/>
      <c r="F21" s="89" t="s">
        <v>4</v>
      </c>
      <c r="G21" s="89"/>
      <c r="H21" s="14" t="s">
        <v>9</v>
      </c>
    </row>
    <row r="22" spans="3:11" ht="14.4" x14ac:dyDescent="0.3">
      <c r="C22" s="15" t="str">
        <f>HSI!$C$3</f>
        <v>HOSPITAL SANTA IZABEL</v>
      </c>
      <c r="D22" s="90">
        <f>HSI!U12</f>
        <v>-7049076.6081212461</v>
      </c>
      <c r="E22" s="90"/>
      <c r="F22" s="91">
        <f>HSI!U24</f>
        <v>-4220507.4500000011</v>
      </c>
      <c r="G22" s="91"/>
      <c r="H22" s="16">
        <f t="shared" ref="H22:H47" si="0">F22/D22</f>
        <v>0.59873195946509528</v>
      </c>
    </row>
    <row r="23" spans="3:11" ht="14.4" x14ac:dyDescent="0.3">
      <c r="C23" s="15" t="str">
        <f>Pupileira!$C$3</f>
        <v>PUPILEIRA</v>
      </c>
      <c r="D23" s="90">
        <f>Pupileira!$U$12</f>
        <v>-464175.27253069496</v>
      </c>
      <c r="E23" s="90"/>
      <c r="F23" s="90">
        <f>Pupileira!$U$20</f>
        <v>-241159.09</v>
      </c>
      <c r="G23" s="90"/>
      <c r="H23" s="16">
        <f t="shared" si="0"/>
        <v>0.51954316455763516</v>
      </c>
    </row>
    <row r="24" spans="3:11" ht="14.4" x14ac:dyDescent="0.3">
      <c r="C24" s="15" t="str">
        <f>'Anexo HSI'!C3</f>
        <v>ANEXO HSI</v>
      </c>
      <c r="D24" s="90">
        <f>'Anexo HSI'!U12</f>
        <v>-326689.10900690639</v>
      </c>
      <c r="E24" s="90"/>
      <c r="F24" s="90">
        <f>'Anexo HSI'!U20</f>
        <v>-164649.69</v>
      </c>
      <c r="G24" s="90"/>
      <c r="H24" s="16">
        <f t="shared" si="0"/>
        <v>0.50399503828124004</v>
      </c>
    </row>
    <row r="25" spans="3:11" ht="14.4" x14ac:dyDescent="0.3">
      <c r="C25" s="15" t="str">
        <f>HMS!C3</f>
        <v>HOSPITAL MUNICIPAL DE SALVADOR</v>
      </c>
      <c r="D25" s="90">
        <f>HMS!U12</f>
        <v>-2886806.5840000003</v>
      </c>
      <c r="E25" s="90"/>
      <c r="F25" s="90">
        <f>HMS!U21</f>
        <v>-1520780.38</v>
      </c>
      <c r="G25" s="90"/>
      <c r="H25" s="16">
        <f t="shared" si="0"/>
        <v>0.52680369666220761</v>
      </c>
    </row>
    <row r="26" spans="3:11" ht="14.4" x14ac:dyDescent="0.3">
      <c r="C26" s="15" t="str">
        <f>'Curativos Especiais'!C3</f>
        <v>Curativos Especiais</v>
      </c>
      <c r="D26" s="90">
        <f>'Curativos Especiais'!U9</f>
        <v>-116999.30385000001</v>
      </c>
      <c r="E26" s="90"/>
      <c r="F26" s="90">
        <f>'Curativos Especiais'!U16</f>
        <v>-94814.49000000002</v>
      </c>
      <c r="G26" s="90"/>
      <c r="H26" s="16">
        <f t="shared" si="0"/>
        <v>0.81038507820147176</v>
      </c>
    </row>
    <row r="27" spans="3:11" ht="14.4" x14ac:dyDescent="0.3">
      <c r="C27" s="15" t="str">
        <f>'Casa de Apoio Solange Fraga'!C3</f>
        <v>Casa de Apoio Solange Fraga</v>
      </c>
      <c r="D27" s="90">
        <f>'Casa de Apoio Solange Fraga'!U10</f>
        <v>-36746.081024999999</v>
      </c>
      <c r="E27" s="90"/>
      <c r="F27" s="90">
        <f>'Casa de Apoio Solange Fraga'!U18</f>
        <v>-15339.98</v>
      </c>
      <c r="G27" s="90"/>
      <c r="H27" s="16">
        <f t="shared" si="0"/>
        <v>0.41745893907879661</v>
      </c>
    </row>
    <row r="28" spans="3:11" ht="14.4" x14ac:dyDescent="0.3">
      <c r="C28" s="15" t="str">
        <f>'Infanto Juvenil'!C3</f>
        <v>Unidade de Acolhimento Infanto Juvenil</v>
      </c>
      <c r="D28" s="90">
        <f>'Infanto Juvenil'!U9</f>
        <v>-8002.3593899999996</v>
      </c>
      <c r="E28" s="90"/>
      <c r="F28" s="91">
        <f>'Infanto Juvenil'!U16</f>
        <v>-4955.84</v>
      </c>
      <c r="G28" s="91"/>
      <c r="H28" s="16">
        <f t="shared" si="0"/>
        <v>0.61929735450184531</v>
      </c>
    </row>
    <row r="29" spans="3:11" ht="14.4" x14ac:dyDescent="0.3">
      <c r="C29" s="15" t="str">
        <f>'Casa Lad.7'!C3</f>
        <v>Casa da Ladeira, 7 (Galpão de Obras)</v>
      </c>
      <c r="D29" s="90">
        <f>'Casa Lad.7'!U9</f>
        <v>-7177.7062499999993</v>
      </c>
      <c r="E29" s="90"/>
      <c r="F29" s="90">
        <f>'Casa Lad.7'!U16</f>
        <v>-2888.1</v>
      </c>
      <c r="G29" s="90"/>
      <c r="H29" s="16">
        <f t="shared" si="0"/>
        <v>0.40237088275937738</v>
      </c>
    </row>
    <row r="30" spans="3:11" ht="14.4" x14ac:dyDescent="0.3">
      <c r="C30" s="15" t="str">
        <f>'Clínica Rio Vermelho'!C3</f>
        <v>Clínica Rio Vermelho</v>
      </c>
      <c r="D30" s="90">
        <f>'Clínica Rio Vermelho'!U12</f>
        <v>-68412.925921428556</v>
      </c>
      <c r="E30" s="90"/>
      <c r="F30" s="90">
        <f>'Clínica Rio Vermelho'!U21</f>
        <v>-29352.957609999998</v>
      </c>
      <c r="G30" s="90"/>
      <c r="H30" s="16">
        <f t="shared" si="0"/>
        <v>0.42905572616074811</v>
      </c>
    </row>
    <row r="31" spans="3:11" ht="14.4" x14ac:dyDescent="0.3">
      <c r="C31" s="15" t="str">
        <f>'Clínica Ondina'!C3</f>
        <v>Clínica Ondina</v>
      </c>
      <c r="D31" s="90">
        <f>'Clínica Ondina'!U12</f>
        <v>-71324.53501666669</v>
      </c>
      <c r="E31" s="90"/>
      <c r="F31" s="90">
        <f>'Clínica Ondina'!U21</f>
        <v>-32498.108827999997</v>
      </c>
      <c r="G31" s="90"/>
      <c r="H31" s="16">
        <f t="shared" si="0"/>
        <v>0.45563716357079698</v>
      </c>
    </row>
    <row r="32" spans="3:11" ht="14.4" x14ac:dyDescent="0.3">
      <c r="C32" s="15" t="str">
        <f>'CCS 01'!C3</f>
        <v>Cemitério Campo Santo, Entrada 1</v>
      </c>
      <c r="D32" s="90">
        <f>'CCS 01'!U12</f>
        <v>-143334.29369051679</v>
      </c>
      <c r="E32" s="90"/>
      <c r="F32" s="90">
        <f>'CCS 01'!U21</f>
        <v>-36940.883685000008</v>
      </c>
      <c r="G32" s="90"/>
      <c r="H32" s="16">
        <f t="shared" si="0"/>
        <v>0.25772536867388962</v>
      </c>
    </row>
    <row r="33" spans="3:8" ht="14.4" x14ac:dyDescent="0.3">
      <c r="C33" s="15" t="str">
        <f>'CCS 02'!C3</f>
        <v>Cemitério Campo Santo, Entrada 2</v>
      </c>
      <c r="D33" s="90">
        <f>'CCS 02'!U13</f>
        <v>-4899.4750000000004</v>
      </c>
      <c r="E33" s="90"/>
      <c r="F33" s="90">
        <f>'CCS 02'!U22</f>
        <v>0</v>
      </c>
      <c r="G33" s="90"/>
      <c r="H33" s="16">
        <f t="shared" si="0"/>
        <v>0</v>
      </c>
    </row>
    <row r="34" spans="3:8" ht="14.4" x14ac:dyDescent="0.3">
      <c r="C34" s="15" t="str">
        <f>'Museu da Misericórdia'!C3</f>
        <v>Museu da Misericórdia</v>
      </c>
      <c r="D34" s="90">
        <f>'Museu da Misericórdia'!U12</f>
        <v>-166549.68530203553</v>
      </c>
      <c r="E34" s="90"/>
      <c r="F34" s="90">
        <f>'Museu da Misericórdia'!U21</f>
        <v>-96029.214959999998</v>
      </c>
      <c r="G34" s="90"/>
      <c r="H34" s="16">
        <f t="shared" si="0"/>
        <v>0.57657998444039305</v>
      </c>
    </row>
    <row r="35" spans="3:8" ht="14.4" x14ac:dyDescent="0.3">
      <c r="C35" s="15" t="str">
        <f>'Cuidado Continuo'!C3</f>
        <v>Cuidado Contínuo</v>
      </c>
      <c r="D35" s="90">
        <f>'Cuidado Continuo'!U13</f>
        <v>-144016.75374293962</v>
      </c>
      <c r="E35" s="90"/>
      <c r="F35" s="90">
        <f>'Cuidado Continuo'!U22</f>
        <v>-1180.5300000000002</v>
      </c>
      <c r="G35" s="90"/>
      <c r="H35" s="16">
        <f t="shared" si="0"/>
        <v>8.1971712965226828E-3</v>
      </c>
    </row>
    <row r="36" spans="3:8" ht="14.4" x14ac:dyDescent="0.3">
      <c r="C36" s="15" t="str">
        <f>'Posto de Coleta'!C3</f>
        <v>Posto de Coleta</v>
      </c>
      <c r="D36" s="90">
        <f>'Posto de Coleta'!U13</f>
        <v>-72862.590742779605</v>
      </c>
      <c r="E36" s="90"/>
      <c r="F36" s="90">
        <f>'Posto de Coleta'!U22</f>
        <v>-9079.98</v>
      </c>
      <c r="G36" s="90"/>
      <c r="H36" s="16">
        <f t="shared" si="0"/>
        <v>0.12461785818259269</v>
      </c>
    </row>
    <row r="37" spans="3:8" ht="14.4" x14ac:dyDescent="0.3">
      <c r="C37" s="15" t="str">
        <f>CAF!C3</f>
        <v>CAF</v>
      </c>
      <c r="D37" s="90">
        <f>CAF!U12</f>
        <v>-372050.63815634156</v>
      </c>
      <c r="E37" s="90"/>
      <c r="F37" s="91">
        <f>CAF!U21</f>
        <v>-83763.978912999999</v>
      </c>
      <c r="G37" s="91"/>
      <c r="H37" s="16">
        <f t="shared" si="0"/>
        <v>0.22514133916846302</v>
      </c>
    </row>
    <row r="38" spans="3:8" ht="14.4" x14ac:dyDescent="0.3">
      <c r="C38" s="15" t="str">
        <f>CAL!C3</f>
        <v>Clínica Álvaro Lemos</v>
      </c>
      <c r="D38" s="90">
        <f>'Casa Azul'!U12</f>
        <v>-129892.07926796761</v>
      </c>
      <c r="E38" s="90"/>
      <c r="F38" s="91">
        <f>CAL!U21</f>
        <v>-20352.144817000004</v>
      </c>
      <c r="G38" s="91"/>
      <c r="H38" s="16">
        <f t="shared" si="0"/>
        <v>0.15668503369642339</v>
      </c>
    </row>
    <row r="39" spans="3:8" ht="14.4" x14ac:dyDescent="0.3">
      <c r="C39" s="15" t="str">
        <f>'Casa Azul'!C3</f>
        <v>Casa Azul</v>
      </c>
      <c r="D39" s="90">
        <f>'CEI C.R'!U12</f>
        <v>-8891.6242400127994</v>
      </c>
      <c r="E39" s="90"/>
      <c r="F39" s="91">
        <f>'Casa Azul'!U21</f>
        <v>-21075.132375000001</v>
      </c>
      <c r="G39" s="91"/>
      <c r="H39" s="16">
        <f t="shared" si="0"/>
        <v>2.370223010567714</v>
      </c>
    </row>
    <row r="40" spans="3:8" ht="14.4" x14ac:dyDescent="0.3">
      <c r="C40" s="15" t="str">
        <f>'CEI C.R'!C3</f>
        <v>CEI Cristo Redentor</v>
      </c>
      <c r="D40" s="90">
        <f>'CEI C.R'!U12</f>
        <v>-8891.6242400127994</v>
      </c>
      <c r="E40" s="90"/>
      <c r="F40" s="91">
        <f>'CEI C.R'!U21</f>
        <v>-1230.0009550000002</v>
      </c>
      <c r="G40" s="91"/>
      <c r="H40" s="16">
        <f t="shared" si="0"/>
        <v>0.13833253878013962</v>
      </c>
    </row>
    <row r="41" spans="3:8" ht="14.4" x14ac:dyDescent="0.3">
      <c r="C41" s="15" t="str">
        <f>'CER II'!C3</f>
        <v>CER II</v>
      </c>
      <c r="D41" s="90">
        <f>'CER II'!U12</f>
        <v>-45687.272877626798</v>
      </c>
      <c r="E41" s="90"/>
      <c r="F41" s="91">
        <f>'CER II'!U21</f>
        <v>-20814.094639000003</v>
      </c>
      <c r="G41" s="91"/>
      <c r="H41" s="16">
        <f t="shared" si="0"/>
        <v>0.4555775236300596</v>
      </c>
    </row>
    <row r="42" spans="3:8" ht="14.4" x14ac:dyDescent="0.3">
      <c r="C42" s="15" t="str">
        <f>'CEI S.A'!C3</f>
        <v>CEI Santo Antônio</v>
      </c>
      <c r="D42" s="90">
        <f>'CEI S.A'!U12</f>
        <v>-6313.334507500399</v>
      </c>
      <c r="E42" s="90"/>
      <c r="F42" s="91">
        <f>'CEI S.A'!U21</f>
        <v>-721.193397</v>
      </c>
      <c r="G42" s="91"/>
      <c r="H42" s="16">
        <f t="shared" si="0"/>
        <v>0.11423335737132323</v>
      </c>
    </row>
    <row r="43" spans="3:8" ht="14.4" x14ac:dyDescent="0.3">
      <c r="C43" s="15" t="str">
        <f>'CEI S.F'!C3</f>
        <v>CEI São Franscisco</v>
      </c>
      <c r="D43" s="90">
        <f>'CEI S.F'!U12</f>
        <v>-8149.0966275067995</v>
      </c>
      <c r="E43" s="90"/>
      <c r="F43" s="91">
        <f>'CEI S.F'!U21</f>
        <v>-1854.3617429999999</v>
      </c>
      <c r="G43" s="91"/>
      <c r="H43" s="16">
        <f t="shared" si="0"/>
        <v>0.22755427107597551</v>
      </c>
    </row>
    <row r="44" spans="3:8" ht="14.4" x14ac:dyDescent="0.3">
      <c r="C44" s="15" t="str">
        <f>'CEI S.G'!C3</f>
        <v>CEI São Geraldo</v>
      </c>
      <c r="D44" s="90">
        <f>'CEI S.G'!U12</f>
        <v>-18768.6316175596</v>
      </c>
      <c r="E44" s="90"/>
      <c r="F44" s="91">
        <f>'CEI S.G'!U21</f>
        <v>-4579.1399999999994</v>
      </c>
      <c r="G44" s="91"/>
      <c r="H44" s="16">
        <f t="shared" si="0"/>
        <v>0.24397836205149004</v>
      </c>
    </row>
    <row r="45" spans="3:8" ht="14.4" x14ac:dyDescent="0.3">
      <c r="C45" s="15" t="str">
        <f>AVANÇAR!C3</f>
        <v>Avançar</v>
      </c>
      <c r="D45" s="90">
        <f>AVANÇAR!U12</f>
        <v>-144016.75374293962</v>
      </c>
      <c r="E45" s="90"/>
      <c r="F45" s="91">
        <f>AVANÇAR!U21</f>
        <v>-6762.965771000001</v>
      </c>
      <c r="G45" s="91"/>
      <c r="H45" s="16">
        <f t="shared" si="0"/>
        <v>4.6959576543930771E-2</v>
      </c>
    </row>
    <row r="46" spans="3:8" ht="14.4" x14ac:dyDescent="0.3">
      <c r="C46" s="15" t="str">
        <f>'CEI C.M'!C3</f>
        <v>CEI Coração de Mária</v>
      </c>
      <c r="D46" s="90">
        <f>'CEI C.M'!U12</f>
        <v>-7498.2022700144016</v>
      </c>
      <c r="E46" s="90"/>
      <c r="F46" s="91">
        <f>'CEI C.M'!U21</f>
        <v>-2902.5820009999998</v>
      </c>
      <c r="G46" s="91"/>
      <c r="H46" s="16">
        <f t="shared" si="0"/>
        <v>0.38710372119561731</v>
      </c>
    </row>
    <row r="47" spans="3:8" ht="14.4" x14ac:dyDescent="0.3">
      <c r="C47" s="17" t="s">
        <v>10</v>
      </c>
      <c r="D47" s="92">
        <f>SUM(D22:D46)</f>
        <v>-12317232.541137699</v>
      </c>
      <c r="E47" s="92"/>
      <c r="F47" s="93">
        <f>SUM(F22:F46)</f>
        <v>-6634232.289694001</v>
      </c>
      <c r="G47" s="93"/>
      <c r="H47" s="18">
        <f t="shared" si="0"/>
        <v>0.53861387024533847</v>
      </c>
    </row>
    <row r="51" spans="3:11" ht="25.5" customHeight="1" x14ac:dyDescent="0.35">
      <c r="C51" s="94" t="s">
        <v>11</v>
      </c>
      <c r="D51" s="94"/>
      <c r="E51" s="94"/>
      <c r="F51" s="94"/>
      <c r="G51" s="94"/>
      <c r="H51" s="94"/>
      <c r="I51" s="94"/>
      <c r="J51" s="94"/>
      <c r="K51" s="94"/>
    </row>
    <row r="54" spans="3:11" ht="14.25" customHeight="1" x14ac:dyDescent="0.3">
      <c r="C54" s="95" t="s">
        <v>12</v>
      </c>
      <c r="D54" s="95"/>
    </row>
    <row r="55" spans="3:11" ht="14.25" customHeight="1" x14ac:dyDescent="0.3">
      <c r="C55" s="19" t="str">
        <f>HSI!B9</f>
        <v>CCEE - Câmara de Comercialização de Energia Elétrica</v>
      </c>
      <c r="D55" s="20"/>
    </row>
    <row r="56" spans="3:11" ht="14.4" x14ac:dyDescent="0.3">
      <c r="C56" s="96" t="str">
        <f>HSI!B20</f>
        <v>CONTRATO Nº VI5/LP 018/19 (ENEL)</v>
      </c>
      <c r="D56" s="96"/>
    </row>
    <row r="57" spans="3:11" ht="14.4" x14ac:dyDescent="0.3">
      <c r="C57" s="96" t="str">
        <f>Pupileira!B19</f>
        <v xml:space="preserve">CONTRATO COELBA </v>
      </c>
      <c r="D57" s="96"/>
    </row>
    <row r="58" spans="3:11" ht="14.4" x14ac:dyDescent="0.3">
      <c r="C58" s="96" t="str">
        <f>HSI!B22</f>
        <v>ENEL Trading (Energia Curto Prazo)</v>
      </c>
      <c r="D58" s="96"/>
    </row>
    <row r="59" spans="3:11" ht="14.25" customHeight="1" x14ac:dyDescent="0.3">
      <c r="C59" s="96" t="s">
        <v>13</v>
      </c>
      <c r="D59" s="96"/>
    </row>
    <row r="60" spans="3:11" ht="14.4" x14ac:dyDescent="0.3">
      <c r="C60" s="96" t="str">
        <f>'Clínica Rio Vermelho'!C11</f>
        <v>Rateio Guanambi</v>
      </c>
      <c r="D60" s="96"/>
    </row>
    <row r="61" spans="3:11" ht="14.4" x14ac:dyDescent="0.3">
      <c r="C61" s="97"/>
      <c r="D61" s="97"/>
    </row>
  </sheetData>
  <mergeCells count="64">
    <mergeCell ref="C57:D57"/>
    <mergeCell ref="C58:D58"/>
    <mergeCell ref="C59:D59"/>
    <mergeCell ref="C60:D60"/>
    <mergeCell ref="C61:D61"/>
    <mergeCell ref="D47:E47"/>
    <mergeCell ref="F47:G47"/>
    <mergeCell ref="C51:K51"/>
    <mergeCell ref="C54:D54"/>
    <mergeCell ref="C56:D56"/>
    <mergeCell ref="D44:E44"/>
    <mergeCell ref="F44:G44"/>
    <mergeCell ref="D45:E45"/>
    <mergeCell ref="F45:G45"/>
    <mergeCell ref="D46:E46"/>
    <mergeCell ref="F46:G46"/>
    <mergeCell ref="D41:E41"/>
    <mergeCell ref="F41:G41"/>
    <mergeCell ref="D42:E42"/>
    <mergeCell ref="F42:G42"/>
    <mergeCell ref="D43:E43"/>
    <mergeCell ref="F43:G43"/>
    <mergeCell ref="D38:E38"/>
    <mergeCell ref="F38:G38"/>
    <mergeCell ref="D39:E39"/>
    <mergeCell ref="F39:G39"/>
    <mergeCell ref="D40:E40"/>
    <mergeCell ref="F40:G40"/>
    <mergeCell ref="D35:E35"/>
    <mergeCell ref="F35:G35"/>
    <mergeCell ref="D36:E36"/>
    <mergeCell ref="F36:G36"/>
    <mergeCell ref="D37:E37"/>
    <mergeCell ref="F37:G37"/>
    <mergeCell ref="D32:E32"/>
    <mergeCell ref="F32:G32"/>
    <mergeCell ref="D33:E33"/>
    <mergeCell ref="F33:G33"/>
    <mergeCell ref="D34:E34"/>
    <mergeCell ref="F34:G34"/>
    <mergeCell ref="D29:E29"/>
    <mergeCell ref="F29:G29"/>
    <mergeCell ref="D30:E30"/>
    <mergeCell ref="F30:G30"/>
    <mergeCell ref="D31:E31"/>
    <mergeCell ref="F31:G31"/>
    <mergeCell ref="D26:E26"/>
    <mergeCell ref="F26:G26"/>
    <mergeCell ref="D27:E27"/>
    <mergeCell ref="F27:G27"/>
    <mergeCell ref="D28:E28"/>
    <mergeCell ref="F28:G28"/>
    <mergeCell ref="D23:E23"/>
    <mergeCell ref="F23:G23"/>
    <mergeCell ref="D24:E24"/>
    <mergeCell ref="F24:G24"/>
    <mergeCell ref="D25:E25"/>
    <mergeCell ref="F25:G25"/>
    <mergeCell ref="C4:K4"/>
    <mergeCell ref="C18:K18"/>
    <mergeCell ref="D21:E21"/>
    <mergeCell ref="F21:G21"/>
    <mergeCell ref="D22:E22"/>
    <mergeCell ref="F22:G2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U26"/>
  <sheetViews>
    <sheetView showGridLines="0" topLeftCell="A14" zoomScaleNormal="100" workbookViewId="0">
      <selection activeCell="U24" sqref="U24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12" width="14.88671875" customWidth="1"/>
    <col min="13" max="13" width="17.33203125" customWidth="1"/>
    <col min="14" max="20" width="14.88671875" customWidth="1"/>
    <col min="21" max="21" width="16.44140625" customWidth="1"/>
  </cols>
  <sheetData>
    <row r="3" spans="2:21" ht="23.4" x14ac:dyDescent="0.3">
      <c r="B3" s="21"/>
      <c r="C3" s="22" t="s">
        <v>14</v>
      </c>
      <c r="D3" s="23"/>
      <c r="E3" s="23"/>
      <c r="F3" s="23"/>
      <c r="U3" s="23"/>
    </row>
    <row r="4" spans="2:21" ht="13.5" customHeight="1" x14ac:dyDescent="0.3">
      <c r="B4" s="21"/>
      <c r="C4" s="22"/>
      <c r="D4" s="23"/>
      <c r="E4" s="23"/>
      <c r="F4" s="23"/>
      <c r="U4" s="23"/>
    </row>
    <row r="5" spans="2:21" ht="23.4" x14ac:dyDescent="0.3">
      <c r="B5" s="24"/>
      <c r="C5" s="25" t="s">
        <v>15</v>
      </c>
      <c r="G5" s="26"/>
      <c r="H5" s="27">
        <v>1252.6588073999999</v>
      </c>
      <c r="I5" s="27">
        <v>1155.0675432</v>
      </c>
      <c r="J5" s="27">
        <v>1245.8238486</v>
      </c>
      <c r="K5" s="27">
        <v>1235.850666</v>
      </c>
      <c r="L5" s="27">
        <v>1168.8181938</v>
      </c>
      <c r="M5" s="27">
        <v>1080.5638566</v>
      </c>
      <c r="N5" s="27">
        <v>1067.3378021999999</v>
      </c>
      <c r="O5" s="27">
        <v>1084.5958860000001</v>
      </c>
      <c r="P5" s="27">
        <v>1088.5</v>
      </c>
      <c r="Q5" s="27">
        <v>1095.5999999999999</v>
      </c>
      <c r="R5" s="27">
        <v>1110.5</v>
      </c>
      <c r="S5" s="28">
        <v>1150.4000000000001</v>
      </c>
    </row>
    <row r="6" spans="2:21" ht="12" customHeight="1" x14ac:dyDescent="0.3">
      <c r="B6" s="24"/>
      <c r="C6" s="24"/>
    </row>
    <row r="7" spans="2:21" ht="14.4" x14ac:dyDescent="0.3">
      <c r="B7" s="29" t="s">
        <v>16</v>
      </c>
      <c r="C7" s="29"/>
      <c r="D7" s="30" t="s">
        <v>17</v>
      </c>
      <c r="E7" s="30" t="s">
        <v>18</v>
      </c>
      <c r="F7" s="30" t="s">
        <v>19</v>
      </c>
      <c r="G7" s="31" t="s">
        <v>20</v>
      </c>
      <c r="H7" s="32">
        <v>46023</v>
      </c>
      <c r="I7" s="32">
        <v>46054</v>
      </c>
      <c r="J7" s="32">
        <v>46082</v>
      </c>
      <c r="K7" s="32">
        <v>46113</v>
      </c>
      <c r="L7" s="32">
        <v>46143</v>
      </c>
      <c r="M7" s="32">
        <v>46174</v>
      </c>
      <c r="N7" s="32">
        <v>46204</v>
      </c>
      <c r="O7" s="32">
        <v>46235</v>
      </c>
      <c r="P7" s="32">
        <v>46266</v>
      </c>
      <c r="Q7" s="32">
        <v>46296</v>
      </c>
      <c r="R7" s="32">
        <v>46327</v>
      </c>
      <c r="S7" s="32">
        <v>46357</v>
      </c>
      <c r="T7" s="33"/>
      <c r="U7" s="32" t="s">
        <v>10</v>
      </c>
    </row>
    <row r="8" spans="2:21" ht="14.4" x14ac:dyDescent="0.3">
      <c r="B8" s="98" t="s">
        <v>21</v>
      </c>
      <c r="C8" s="98"/>
      <c r="D8" s="34" t="s">
        <v>22</v>
      </c>
      <c r="E8" s="35" t="s">
        <v>23</v>
      </c>
      <c r="F8" s="36">
        <v>206</v>
      </c>
      <c r="G8" s="37">
        <f>F8*1.001</f>
        <v>206.20599999999999</v>
      </c>
      <c r="H8" s="38">
        <v>245547.7143244</v>
      </c>
      <c r="I8" s="38">
        <v>225443.91389920001</v>
      </c>
      <c r="J8" s="38">
        <v>244139.71281160001</v>
      </c>
      <c r="K8" s="39">
        <v>242339.82243319601</v>
      </c>
      <c r="L8" s="39">
        <v>241017.32447072299</v>
      </c>
      <c r="M8" s="39">
        <v>222818.75061406</v>
      </c>
      <c r="N8" s="39">
        <v>220091.45884045301</v>
      </c>
      <c r="O8" s="39">
        <v>223650.17926851599</v>
      </c>
      <c r="P8" s="39">
        <v>224455.231</v>
      </c>
      <c r="Q8" s="39">
        <v>225919.2936</v>
      </c>
      <c r="R8" s="39">
        <v>228991.76300000001</v>
      </c>
      <c r="S8" s="39">
        <v>237219.3824</v>
      </c>
      <c r="U8" s="40">
        <f>SUM(H8:S8)</f>
        <v>2781634.5466621481</v>
      </c>
    </row>
    <row r="9" spans="2:21" ht="14.4" x14ac:dyDescent="0.3">
      <c r="B9" s="98" t="s">
        <v>24</v>
      </c>
      <c r="C9" s="98"/>
      <c r="D9" s="41" t="s">
        <v>25</v>
      </c>
      <c r="E9" s="42" t="s">
        <v>25</v>
      </c>
      <c r="F9" s="43" t="s">
        <v>25</v>
      </c>
      <c r="G9" s="44" t="s">
        <v>25</v>
      </c>
      <c r="H9" s="38">
        <v>25000</v>
      </c>
      <c r="I9" s="38">
        <v>25000</v>
      </c>
      <c r="J9" s="38">
        <v>25000</v>
      </c>
      <c r="K9" s="38">
        <v>25000</v>
      </c>
      <c r="L9" s="38">
        <v>25000</v>
      </c>
      <c r="M9" s="38">
        <v>25000</v>
      </c>
      <c r="N9" s="38">
        <v>25000</v>
      </c>
      <c r="O9" s="38">
        <v>25000</v>
      </c>
      <c r="P9" s="38">
        <v>25000</v>
      </c>
      <c r="Q9" s="38">
        <v>25000</v>
      </c>
      <c r="R9" s="38">
        <v>25000</v>
      </c>
      <c r="S9" s="38">
        <v>25000</v>
      </c>
      <c r="U9" s="40">
        <f>SUM(H9:S9)</f>
        <v>300000</v>
      </c>
    </row>
    <row r="10" spans="2:21" ht="14.4" x14ac:dyDescent="0.3">
      <c r="B10" s="98" t="s">
        <v>26</v>
      </c>
      <c r="C10" s="98"/>
      <c r="D10" s="41" t="s">
        <v>25</v>
      </c>
      <c r="E10" s="42" t="s">
        <v>25</v>
      </c>
      <c r="F10" s="43" t="s">
        <v>25</v>
      </c>
      <c r="G10" s="44" t="s">
        <v>25</v>
      </c>
      <c r="H10" s="38">
        <v>12500</v>
      </c>
      <c r="I10" s="38">
        <v>12500</v>
      </c>
      <c r="J10" s="38">
        <v>12500</v>
      </c>
      <c r="K10" s="38">
        <v>12500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45"/>
      <c r="U10" s="40">
        <f>SUM(H10:S10)</f>
        <v>50000</v>
      </c>
    </row>
    <row r="11" spans="2:21" ht="14.4" x14ac:dyDescent="0.3">
      <c r="B11" s="98" t="s">
        <v>27</v>
      </c>
      <c r="C11" s="98"/>
      <c r="D11" s="34" t="s">
        <v>28</v>
      </c>
      <c r="E11" s="35" t="s">
        <v>29</v>
      </c>
      <c r="F11" s="46">
        <v>272.5</v>
      </c>
      <c r="G11" s="37" t="e">
        <f>F11*(1+#REF!+#REF!)</f>
        <v>#REF!</v>
      </c>
      <c r="H11" s="38">
        <v>341349.52501649997</v>
      </c>
      <c r="I11" s="38">
        <v>314755.90552199999</v>
      </c>
      <c r="J11" s="38">
        <v>339486.99874349998</v>
      </c>
      <c r="K11" s="39">
        <v>358154.157446798</v>
      </c>
      <c r="L11" s="39">
        <v>338727.89563146699</v>
      </c>
      <c r="M11" s="39">
        <v>313151.45775714202</v>
      </c>
      <c r="N11" s="39">
        <v>309318.497594318</v>
      </c>
      <c r="O11" s="39">
        <v>314319.95499737299</v>
      </c>
      <c r="P11" s="39">
        <v>315451.38187500002</v>
      </c>
      <c r="Q11" s="39">
        <v>317508.98849999998</v>
      </c>
      <c r="R11" s="39">
        <v>321827.06437500002</v>
      </c>
      <c r="S11" s="39">
        <v>333390.234</v>
      </c>
      <c r="T11" s="45"/>
      <c r="U11" s="40">
        <f>SUM(H11:S11)</f>
        <v>3917442.061459098</v>
      </c>
    </row>
    <row r="12" spans="2:21" ht="14.4" x14ac:dyDescent="0.3">
      <c r="B12" s="99" t="s">
        <v>30</v>
      </c>
      <c r="C12" s="99"/>
      <c r="D12" s="47"/>
      <c r="E12" s="48"/>
      <c r="F12" s="48"/>
      <c r="G12" s="48"/>
      <c r="H12" s="49">
        <f t="shared" ref="H12:S12" si="0">SUM(H8:H11)</f>
        <v>624397.23934089998</v>
      </c>
      <c r="I12" s="49">
        <f t="shared" si="0"/>
        <v>577699.81942120008</v>
      </c>
      <c r="J12" s="49">
        <f t="shared" si="0"/>
        <v>621126.71155510005</v>
      </c>
      <c r="K12" s="49">
        <f t="shared" si="0"/>
        <v>637993.97987999395</v>
      </c>
      <c r="L12" s="49">
        <f t="shared" si="0"/>
        <v>604745.22010219004</v>
      </c>
      <c r="M12" s="49">
        <f t="shared" si="0"/>
        <v>560970.208371202</v>
      </c>
      <c r="N12" s="49">
        <f t="shared" si="0"/>
        <v>554409.95643477095</v>
      </c>
      <c r="O12" s="49">
        <f t="shared" si="0"/>
        <v>562970.13426588895</v>
      </c>
      <c r="P12" s="49">
        <f t="shared" si="0"/>
        <v>564906.61287499999</v>
      </c>
      <c r="Q12" s="49">
        <f t="shared" si="0"/>
        <v>568428.28209999995</v>
      </c>
      <c r="R12" s="49">
        <f t="shared" si="0"/>
        <v>575818.82737499999</v>
      </c>
      <c r="S12" s="49">
        <f t="shared" si="0"/>
        <v>595609.61639999994</v>
      </c>
      <c r="U12" s="49">
        <f>SUM(U8:U11)*-1</f>
        <v>-7049076.6081212461</v>
      </c>
    </row>
    <row r="14" spans="2:21" ht="14.25" customHeight="1" x14ac:dyDescent="0.3">
      <c r="C14" s="22" t="s">
        <v>31</v>
      </c>
    </row>
    <row r="15" spans="2:21" ht="14.25" customHeight="1" x14ac:dyDescent="0.3">
      <c r="C15" s="50" t="s">
        <v>32</v>
      </c>
    </row>
    <row r="16" spans="2:21" ht="6" customHeight="1" x14ac:dyDescent="0.3">
      <c r="B16" s="51"/>
    </row>
    <row r="17" spans="2:21" ht="23.4" x14ac:dyDescent="0.3">
      <c r="B17" s="24"/>
      <c r="C17" s="25" t="s">
        <v>33</v>
      </c>
      <c r="G17" s="26"/>
      <c r="H17" s="27">
        <f>1125702.08/1000</f>
        <v>1125.70208</v>
      </c>
      <c r="I17" s="27">
        <v>1101.56</v>
      </c>
      <c r="J17" s="27">
        <v>1258.58</v>
      </c>
      <c r="K17" s="27">
        <v>1215.33</v>
      </c>
      <c r="L17" s="27">
        <v>1224.1600000000001</v>
      </c>
      <c r="M17" s="27"/>
      <c r="N17" s="27"/>
      <c r="O17" s="27"/>
      <c r="P17" s="27"/>
      <c r="Q17" s="27"/>
      <c r="R17" s="27"/>
      <c r="S17" s="28"/>
    </row>
    <row r="19" spans="2:21" ht="14.4" x14ac:dyDescent="0.3">
      <c r="B19" s="29" t="s">
        <v>16</v>
      </c>
      <c r="C19" s="29"/>
      <c r="H19" s="32">
        <v>46023</v>
      </c>
      <c r="I19" s="32">
        <v>46054</v>
      </c>
      <c r="J19" s="32">
        <v>46082</v>
      </c>
      <c r="K19" s="32">
        <v>46113</v>
      </c>
      <c r="L19" s="32">
        <v>46143</v>
      </c>
      <c r="M19" s="32">
        <v>46174</v>
      </c>
      <c r="N19" s="32">
        <v>46204</v>
      </c>
      <c r="O19" s="32">
        <v>46235</v>
      </c>
      <c r="P19" s="32">
        <v>46266</v>
      </c>
      <c r="Q19" s="32">
        <v>46296</v>
      </c>
      <c r="R19" s="32">
        <v>46327</v>
      </c>
      <c r="S19" s="32">
        <v>46357</v>
      </c>
      <c r="U19" s="32" t="s">
        <v>10</v>
      </c>
    </row>
    <row r="20" spans="2:21" ht="14.4" x14ac:dyDescent="0.3">
      <c r="B20" s="98" t="s">
        <v>21</v>
      </c>
      <c r="C20" s="98"/>
      <c r="H20" s="38">
        <f>224790.69+26238.07</f>
        <v>251028.76</v>
      </c>
      <c r="I20" s="38">
        <f>209871.3+29811.2</f>
        <v>239682.5</v>
      </c>
      <c r="J20" s="38">
        <f>27025.22+194502.94</f>
        <v>221528.16</v>
      </c>
      <c r="K20" s="38">
        <f>209180.26+31056.74</f>
        <v>240237</v>
      </c>
      <c r="L20" s="39">
        <f>211942.72+29925.4</f>
        <v>241868.12</v>
      </c>
      <c r="M20" s="39">
        <f>30078.76+213173.36</f>
        <v>243252.12</v>
      </c>
      <c r="N20" s="39">
        <f>196882.39+25973.61</f>
        <v>222856</v>
      </c>
      <c r="O20" s="39"/>
      <c r="P20" s="39"/>
      <c r="Q20" s="39"/>
      <c r="R20" s="39"/>
      <c r="S20" s="39"/>
      <c r="U20" s="40">
        <f>SUM(H20:S20)</f>
        <v>1660452.6600000001</v>
      </c>
    </row>
    <row r="21" spans="2:21" ht="14.4" x14ac:dyDescent="0.3">
      <c r="B21" s="98" t="s">
        <v>24</v>
      </c>
      <c r="C21" s="98"/>
      <c r="G21" s="38">
        <v>24823.01</v>
      </c>
      <c r="H21" s="38">
        <v>24823.01</v>
      </c>
      <c r="I21" s="38">
        <v>31721.14</v>
      </c>
      <c r="J21" s="38">
        <v>39522.639999999999</v>
      </c>
      <c r="K21" s="38">
        <v>2289</v>
      </c>
      <c r="L21" s="38">
        <v>10691.57</v>
      </c>
      <c r="M21" s="38">
        <v>39754.6</v>
      </c>
      <c r="O21" s="38"/>
      <c r="P21" s="38"/>
      <c r="Q21" s="38"/>
      <c r="R21" s="38"/>
      <c r="S21" s="38"/>
      <c r="U21" s="40">
        <f t="shared" ref="U21:U23" si="1">SUM(H21:S21)</f>
        <v>148801.96</v>
      </c>
    </row>
    <row r="22" spans="2:21" ht="14.4" x14ac:dyDescent="0.3">
      <c r="B22" s="98" t="s">
        <v>26</v>
      </c>
      <c r="C22" s="98"/>
      <c r="H22" s="38">
        <v>47129.08</v>
      </c>
      <c r="I22" s="38">
        <v>20115.669999999998</v>
      </c>
      <c r="J22" s="38">
        <v>20077.46</v>
      </c>
      <c r="K22" s="38">
        <v>35098.370000000003</v>
      </c>
      <c r="L22" s="38">
        <v>12223.43</v>
      </c>
      <c r="M22" s="38">
        <v>14129.34</v>
      </c>
      <c r="N22" s="38">
        <v>0</v>
      </c>
      <c r="O22" s="38"/>
      <c r="P22" s="38"/>
      <c r="Q22" s="38"/>
      <c r="R22" s="38"/>
      <c r="S22" s="38"/>
      <c r="U22" s="40">
        <f t="shared" si="1"/>
        <v>148773.34999999998</v>
      </c>
    </row>
    <row r="23" spans="2:21" ht="14.4" x14ac:dyDescent="0.3">
      <c r="B23" s="98" t="s">
        <v>27</v>
      </c>
      <c r="C23" s="98"/>
      <c r="H23" s="38">
        <v>342652.08</v>
      </c>
      <c r="I23" s="38">
        <f>344909.01</f>
        <v>344909.01</v>
      </c>
      <c r="J23" s="38">
        <v>361129.53</v>
      </c>
      <c r="K23" s="38">
        <v>369682.31</v>
      </c>
      <c r="L23" s="39">
        <v>0</v>
      </c>
      <c r="M23" s="39">
        <f>433031.01+411075.54</f>
        <v>844106.55</v>
      </c>
      <c r="N23" s="39"/>
      <c r="O23" s="39"/>
      <c r="P23" s="39"/>
      <c r="Q23" s="39"/>
      <c r="R23" s="39"/>
      <c r="S23" s="39"/>
      <c r="U23" s="40">
        <f t="shared" si="1"/>
        <v>2262479.4800000004</v>
      </c>
    </row>
    <row r="24" spans="2:21" ht="14.4" x14ac:dyDescent="0.3">
      <c r="B24" s="99" t="s">
        <v>30</v>
      </c>
      <c r="C24" s="99"/>
      <c r="H24" s="49">
        <f t="shared" ref="H24:S24" si="2">SUM(H20:H23)</f>
        <v>665632.93000000005</v>
      </c>
      <c r="I24" s="49">
        <f t="shared" si="2"/>
        <v>636428.32000000007</v>
      </c>
      <c r="J24" s="49">
        <f t="shared" si="2"/>
        <v>642257.79</v>
      </c>
      <c r="K24" s="49">
        <f t="shared" si="2"/>
        <v>647306.67999999993</v>
      </c>
      <c r="L24" s="49">
        <f t="shared" si="2"/>
        <v>264783.12</v>
      </c>
      <c r="M24" s="49">
        <f t="shared" si="2"/>
        <v>1141242.6100000001</v>
      </c>
      <c r="N24" s="49">
        <f t="shared" si="2"/>
        <v>222856</v>
      </c>
      <c r="O24" s="49">
        <f t="shared" si="2"/>
        <v>0</v>
      </c>
      <c r="P24" s="49">
        <f t="shared" si="2"/>
        <v>0</v>
      </c>
      <c r="Q24" s="49">
        <f t="shared" si="2"/>
        <v>0</v>
      </c>
      <c r="R24" s="49">
        <f t="shared" si="2"/>
        <v>0</v>
      </c>
      <c r="S24" s="49">
        <f t="shared" si="2"/>
        <v>0</v>
      </c>
      <c r="U24" s="49">
        <f>SUM(U20:U23)*-1</f>
        <v>-4220507.4500000011</v>
      </c>
    </row>
    <row r="26" spans="2:21" ht="14.4" x14ac:dyDescent="0.3">
      <c r="B26" s="99" t="s">
        <v>34</v>
      </c>
      <c r="C26" s="99"/>
      <c r="H26" s="52">
        <f t="shared" ref="H26:S26" si="3">H24/H12</f>
        <v>1.0660407959244464</v>
      </c>
      <c r="I26" s="52">
        <f t="shared" si="3"/>
        <v>1.1016591984356865</v>
      </c>
      <c r="J26" s="52">
        <f t="shared" si="3"/>
        <v>1.03402055981781</v>
      </c>
      <c r="K26" s="52">
        <f t="shared" si="3"/>
        <v>1.0145968463867914</v>
      </c>
      <c r="L26" s="52">
        <f t="shared" si="3"/>
        <v>0.43784243545613616</v>
      </c>
      <c r="M26" s="52">
        <f t="shared" si="3"/>
        <v>2.0344085888511634</v>
      </c>
      <c r="N26" s="52">
        <f t="shared" si="3"/>
        <v>0.40196969302844782</v>
      </c>
      <c r="O26" s="52">
        <f t="shared" si="3"/>
        <v>0</v>
      </c>
      <c r="P26" s="52">
        <f t="shared" si="3"/>
        <v>0</v>
      </c>
      <c r="Q26" s="52">
        <f t="shared" si="3"/>
        <v>0</v>
      </c>
      <c r="R26" s="52">
        <f t="shared" si="3"/>
        <v>0</v>
      </c>
      <c r="S26" s="52">
        <f t="shared" si="3"/>
        <v>0</v>
      </c>
    </row>
  </sheetData>
  <mergeCells count="11">
    <mergeCell ref="B26:C26"/>
    <mergeCell ref="B20:C20"/>
    <mergeCell ref="B21:C21"/>
    <mergeCell ref="B22:C22"/>
    <mergeCell ref="B23:C23"/>
    <mergeCell ref="B24:C24"/>
    <mergeCell ref="B8:C8"/>
    <mergeCell ref="B9:C9"/>
    <mergeCell ref="B10:C10"/>
    <mergeCell ref="B11:C11"/>
    <mergeCell ref="B12:C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U22"/>
  <sheetViews>
    <sheetView showGridLines="0" topLeftCell="A3" zoomScaleNormal="100" workbookViewId="0">
      <selection activeCell="M15" sqref="M15"/>
    </sheetView>
  </sheetViews>
  <sheetFormatPr defaultColWidth="8.77734375" defaultRowHeight="14.25" customHeight="1" x14ac:dyDescent="0.3"/>
  <cols>
    <col min="1" max="1" width="4.10937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2:21" ht="23.4" x14ac:dyDescent="0.3">
      <c r="B3" s="21"/>
      <c r="C3" s="22" t="s">
        <v>35</v>
      </c>
      <c r="D3" s="23"/>
      <c r="E3" s="23"/>
      <c r="F3" s="23"/>
      <c r="U3" s="23"/>
    </row>
    <row r="4" spans="2:21" ht="13.5" customHeight="1" x14ac:dyDescent="0.3">
      <c r="B4" s="21"/>
      <c r="C4" s="22"/>
      <c r="D4" s="23"/>
      <c r="E4" s="23"/>
      <c r="F4" s="23"/>
      <c r="U4" s="23"/>
    </row>
    <row r="5" spans="2:21" ht="23.4" x14ac:dyDescent="0.3">
      <c r="B5" s="24"/>
      <c r="C5" s="25" t="s">
        <v>15</v>
      </c>
      <c r="G5" s="26"/>
      <c r="H5" s="27">
        <v>63.551169999999999</v>
      </c>
      <c r="I5" s="27">
        <v>61.679679999999998</v>
      </c>
      <c r="J5" s="27">
        <v>67.361649999999997</v>
      </c>
      <c r="K5" s="27">
        <v>68.291460000000001</v>
      </c>
      <c r="L5" s="27">
        <v>59.106870000000001</v>
      </c>
      <c r="M5" s="27">
        <v>49.340629999999997</v>
      </c>
      <c r="N5" s="27">
        <v>46.16675</v>
      </c>
      <c r="O5" s="27">
        <v>51.342379999999999</v>
      </c>
      <c r="P5" s="27">
        <v>55.5</v>
      </c>
      <c r="Q5" s="27">
        <v>58.6</v>
      </c>
      <c r="R5" s="27">
        <v>60.5</v>
      </c>
      <c r="S5" s="28">
        <v>62.4</v>
      </c>
    </row>
    <row r="6" spans="2:21" ht="12" customHeight="1" x14ac:dyDescent="0.3">
      <c r="B6" s="24"/>
      <c r="C6" s="24"/>
    </row>
    <row r="7" spans="2:21" ht="14.4" x14ac:dyDescent="0.3">
      <c r="B7" s="29" t="s">
        <v>16</v>
      </c>
      <c r="C7" s="29"/>
      <c r="D7" s="30" t="s">
        <v>17</v>
      </c>
      <c r="E7" s="30" t="s">
        <v>18</v>
      </c>
      <c r="F7" s="30" t="s">
        <v>19</v>
      </c>
      <c r="G7" s="31" t="s">
        <v>20</v>
      </c>
      <c r="H7" s="32">
        <v>46023</v>
      </c>
      <c r="I7" s="32">
        <v>46054</v>
      </c>
      <c r="J7" s="32">
        <v>46082</v>
      </c>
      <c r="K7" s="32">
        <v>46113</v>
      </c>
      <c r="L7" s="32">
        <v>46143</v>
      </c>
      <c r="M7" s="32">
        <v>46174</v>
      </c>
      <c r="N7" s="32">
        <v>46204</v>
      </c>
      <c r="O7" s="32">
        <v>46235</v>
      </c>
      <c r="P7" s="32">
        <v>46266</v>
      </c>
      <c r="Q7" s="32">
        <v>46296</v>
      </c>
      <c r="R7" s="32">
        <v>46327</v>
      </c>
      <c r="S7" s="32">
        <v>46357</v>
      </c>
      <c r="T7" s="33"/>
      <c r="U7" s="32" t="s">
        <v>10</v>
      </c>
    </row>
    <row r="8" spans="2:21" ht="14.4" x14ac:dyDescent="0.3">
      <c r="B8" s="98" t="s">
        <v>21</v>
      </c>
      <c r="C8" s="98"/>
      <c r="D8" s="34" t="s">
        <v>22</v>
      </c>
      <c r="E8" s="35" t="s">
        <v>23</v>
      </c>
      <c r="F8" s="36">
        <v>206</v>
      </c>
      <c r="G8" s="37">
        <f>F8*1.001</f>
        <v>206.20599999999999</v>
      </c>
      <c r="H8" s="38">
        <v>11604.63256102</v>
      </c>
      <c r="I8" s="38">
        <v>11218.720094079999</v>
      </c>
      <c r="J8" s="38">
        <v>12390.3763999</v>
      </c>
      <c r="K8" s="39">
        <v>12582.108800759999</v>
      </c>
      <c r="L8" s="39">
        <v>12188.19123522</v>
      </c>
      <c r="M8" s="39">
        <v>10174.333949780001</v>
      </c>
      <c r="N8" s="39">
        <v>9519.8608504999993</v>
      </c>
      <c r="O8" s="39">
        <v>10587.10681028</v>
      </c>
      <c r="P8" s="39">
        <v>11444.433000000001</v>
      </c>
      <c r="Q8" s="39">
        <v>12083.6716</v>
      </c>
      <c r="R8" s="39">
        <v>12475.463</v>
      </c>
      <c r="S8" s="39">
        <v>12867.2544</v>
      </c>
      <c r="U8" s="40">
        <f>SUM(H8:S8)</f>
        <v>139136.15270154001</v>
      </c>
    </row>
    <row r="9" spans="2:21" ht="14.4" x14ac:dyDescent="0.3">
      <c r="B9" s="98" t="s">
        <v>24</v>
      </c>
      <c r="C9" s="98"/>
      <c r="D9" s="41" t="s">
        <v>25</v>
      </c>
      <c r="E9" s="42" t="s">
        <v>25</v>
      </c>
      <c r="F9" s="43" t="s">
        <v>25</v>
      </c>
      <c r="G9" s="44" t="s">
        <v>25</v>
      </c>
      <c r="H9" s="38">
        <v>1000</v>
      </c>
      <c r="I9" s="38">
        <v>1000</v>
      </c>
      <c r="J9" s="38">
        <v>1000</v>
      </c>
      <c r="K9" s="38">
        <v>1000</v>
      </c>
      <c r="L9" s="38">
        <v>1000</v>
      </c>
      <c r="M9" s="38">
        <v>1000</v>
      </c>
      <c r="N9" s="38">
        <v>1000</v>
      </c>
      <c r="O9" s="38">
        <v>1000</v>
      </c>
      <c r="P9" s="38">
        <v>1000</v>
      </c>
      <c r="Q9" s="38">
        <v>1000</v>
      </c>
      <c r="R9" s="38">
        <v>1000</v>
      </c>
      <c r="S9" s="38">
        <v>1000</v>
      </c>
      <c r="U9" s="40">
        <f>SUM(H9:S9)</f>
        <v>12000</v>
      </c>
    </row>
    <row r="10" spans="2:21" ht="14.4" x14ac:dyDescent="0.3">
      <c r="B10" s="98" t="s">
        <v>26</v>
      </c>
      <c r="C10" s="98"/>
      <c r="D10" s="41" t="s">
        <v>25</v>
      </c>
      <c r="E10" s="42" t="s">
        <v>25</v>
      </c>
      <c r="F10" s="43" t="s">
        <v>25</v>
      </c>
      <c r="G10" s="44" t="s">
        <v>25</v>
      </c>
      <c r="H10" s="38">
        <v>1500</v>
      </c>
      <c r="I10" s="38">
        <v>1500</v>
      </c>
      <c r="J10" s="38">
        <v>1500</v>
      </c>
      <c r="K10" s="38">
        <v>1500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45"/>
      <c r="U10" s="40">
        <f>SUM(H10:S10)</f>
        <v>6000</v>
      </c>
    </row>
    <row r="11" spans="2:21" ht="14.4" x14ac:dyDescent="0.3">
      <c r="B11" s="98" t="s">
        <v>36</v>
      </c>
      <c r="C11" s="98"/>
      <c r="D11" s="34" t="s">
        <v>28</v>
      </c>
      <c r="E11" s="35" t="s">
        <v>29</v>
      </c>
      <c r="F11" s="46">
        <v>272.5</v>
      </c>
      <c r="G11" s="37" t="e">
        <f>F11*(1+#REF!+#REF!)</f>
        <v>#REF!</v>
      </c>
      <c r="H11" s="38">
        <v>26500.837889999999</v>
      </c>
      <c r="I11" s="38">
        <v>25720.42656</v>
      </c>
      <c r="J11" s="38">
        <v>28089.80805</v>
      </c>
      <c r="K11" s="39">
        <v>30285.862535069999</v>
      </c>
      <c r="L11" s="39">
        <v>26212.685154164999</v>
      </c>
      <c r="M11" s="39">
        <v>21881.557922085001</v>
      </c>
      <c r="N11" s="39">
        <v>20474.007206625</v>
      </c>
      <c r="O11" s="39">
        <v>22769.29301121</v>
      </c>
      <c r="P11" s="39">
        <v>24613.112249999998</v>
      </c>
      <c r="Q11" s="39">
        <v>25987.898700000002</v>
      </c>
      <c r="R11" s="39">
        <v>26830.509750000001</v>
      </c>
      <c r="S11" s="39">
        <v>27673.120800000001</v>
      </c>
      <c r="T11" s="45"/>
      <c r="U11" s="40">
        <f>SUM(H11:S11)</f>
        <v>307039.11982915498</v>
      </c>
    </row>
    <row r="12" spans="2:21" ht="14.4" x14ac:dyDescent="0.3">
      <c r="B12" s="99" t="s">
        <v>30</v>
      </c>
      <c r="C12" s="99"/>
      <c r="D12" s="47"/>
      <c r="E12" s="48"/>
      <c r="F12" s="48"/>
      <c r="G12" s="48"/>
      <c r="H12" s="49">
        <f t="shared" ref="H12:S12" si="0">SUM(H8:H11)</f>
        <v>40605.470451019995</v>
      </c>
      <c r="I12" s="49">
        <f t="shared" si="0"/>
        <v>39439.146654080003</v>
      </c>
      <c r="J12" s="49">
        <f t="shared" si="0"/>
        <v>42980.1844499</v>
      </c>
      <c r="K12" s="49">
        <f t="shared" si="0"/>
        <v>45367.97133583</v>
      </c>
      <c r="L12" s="49">
        <f t="shared" si="0"/>
        <v>39400.876389384997</v>
      </c>
      <c r="M12" s="49">
        <f t="shared" si="0"/>
        <v>33055.891871865002</v>
      </c>
      <c r="N12" s="49">
        <f t="shared" si="0"/>
        <v>30993.868057125001</v>
      </c>
      <c r="O12" s="49">
        <f t="shared" si="0"/>
        <v>34356.399821489998</v>
      </c>
      <c r="P12" s="49">
        <f t="shared" si="0"/>
        <v>37057.545249999996</v>
      </c>
      <c r="Q12" s="49">
        <f t="shared" si="0"/>
        <v>39071.570299999999</v>
      </c>
      <c r="R12" s="49">
        <f t="shared" si="0"/>
        <v>40305.972750000001</v>
      </c>
      <c r="S12" s="49">
        <f t="shared" si="0"/>
        <v>41540.375200000002</v>
      </c>
      <c r="U12" s="49">
        <f>SUM(U8:U11)*-1</f>
        <v>-464175.27253069496</v>
      </c>
    </row>
    <row r="14" spans="2:21" ht="23.4" x14ac:dyDescent="0.3">
      <c r="B14" s="24"/>
      <c r="C14" s="25" t="s">
        <v>33</v>
      </c>
      <c r="G14" s="26"/>
      <c r="H14" s="27">
        <f>59571.46/1000</f>
        <v>59.571460000000002</v>
      </c>
      <c r="I14" s="27">
        <f>(51245.87+4868.15)/1000</f>
        <v>56.114020000000004</v>
      </c>
      <c r="J14" s="27">
        <v>80.08</v>
      </c>
      <c r="K14" s="27">
        <v>65.52</v>
      </c>
      <c r="L14" s="27">
        <v>65.459999999999994</v>
      </c>
      <c r="M14" s="27"/>
      <c r="N14" s="27"/>
      <c r="O14" s="27"/>
      <c r="P14" s="27"/>
      <c r="Q14" s="27"/>
      <c r="R14" s="27"/>
      <c r="S14" s="28"/>
    </row>
    <row r="16" spans="2:21" ht="14.4" x14ac:dyDescent="0.3">
      <c r="B16" s="29" t="s">
        <v>16</v>
      </c>
      <c r="C16" s="29"/>
      <c r="H16" s="32">
        <v>46023</v>
      </c>
      <c r="I16" s="32">
        <v>46054</v>
      </c>
      <c r="J16" s="32">
        <v>46082</v>
      </c>
      <c r="K16" s="32">
        <v>46113</v>
      </c>
      <c r="L16" s="32">
        <v>46143</v>
      </c>
      <c r="M16" s="32">
        <v>46174</v>
      </c>
      <c r="N16" s="32">
        <v>46204</v>
      </c>
      <c r="O16" s="32">
        <v>46235</v>
      </c>
      <c r="P16" s="32">
        <v>46266</v>
      </c>
      <c r="Q16" s="32">
        <v>46296</v>
      </c>
      <c r="R16" s="32">
        <v>46327</v>
      </c>
      <c r="S16" s="32">
        <v>46357</v>
      </c>
      <c r="U16" s="32" t="s">
        <v>10</v>
      </c>
    </row>
    <row r="17" spans="2:21" ht="14.4" x14ac:dyDescent="0.3">
      <c r="B17" s="98" t="s">
        <v>21</v>
      </c>
      <c r="C17" s="98"/>
      <c r="H17" s="38">
        <f>10376.64+1211.28</f>
        <v>11587.92</v>
      </c>
      <c r="I17" s="38">
        <f>10328.28+1467.15</f>
        <v>11795.43</v>
      </c>
      <c r="J17" s="38">
        <f>9916.06+1377.84</f>
        <v>11293.9</v>
      </c>
      <c r="K17" s="38">
        <f>1982.95+13355.6</f>
        <v>15338.550000000001</v>
      </c>
      <c r="L17" s="39">
        <f>11384.29+1607.45</f>
        <v>12991.740000000002</v>
      </c>
      <c r="M17" s="39">
        <f>11396.96+1608.15</f>
        <v>13005.109999999999</v>
      </c>
      <c r="N17" s="39">
        <f>9431.45+1244.32</f>
        <v>10675.77</v>
      </c>
      <c r="O17" s="39"/>
      <c r="P17" s="39"/>
      <c r="Q17" s="39"/>
      <c r="R17" s="39"/>
      <c r="S17" s="39"/>
      <c r="U17" s="40">
        <f>SUM(I17:S17)</f>
        <v>75100.500000000015</v>
      </c>
    </row>
    <row r="18" spans="2:21" ht="14.4" x14ac:dyDescent="0.3">
      <c r="B18" s="98" t="s">
        <v>26</v>
      </c>
      <c r="C18" s="98"/>
      <c r="H18" s="38">
        <v>2175.42</v>
      </c>
      <c r="I18" s="38">
        <v>990.02</v>
      </c>
      <c r="J18" s="38">
        <v>1023.68</v>
      </c>
      <c r="K18" s="38">
        <v>2241.0700000000002</v>
      </c>
      <c r="L18" s="38">
        <v>656.64</v>
      </c>
      <c r="M18" s="38">
        <v>755.51</v>
      </c>
      <c r="N18" s="38">
        <v>0</v>
      </c>
      <c r="O18" s="38"/>
      <c r="P18" s="38"/>
      <c r="Q18" s="38"/>
      <c r="R18" s="38"/>
      <c r="S18" s="38"/>
      <c r="U18" s="40">
        <f>SUM(I18:S18)</f>
        <v>5666.920000000001</v>
      </c>
    </row>
    <row r="19" spans="2:21" ht="14.4" x14ac:dyDescent="0.3">
      <c r="B19" s="98" t="s">
        <v>37</v>
      </c>
      <c r="C19" s="98"/>
      <c r="H19" s="38">
        <v>32782.18</v>
      </c>
      <c r="I19" s="38">
        <v>25290.54</v>
      </c>
      <c r="J19" s="38">
        <v>25996.55</v>
      </c>
      <c r="K19" s="38">
        <v>39225.4</v>
      </c>
      <c r="L19" s="39">
        <v>33685.26</v>
      </c>
      <c r="M19" s="39">
        <v>36193.919999999998</v>
      </c>
      <c r="N19" s="39"/>
      <c r="O19" s="39"/>
      <c r="P19" s="39"/>
      <c r="Q19" s="39"/>
      <c r="R19" s="39"/>
      <c r="S19" s="39"/>
      <c r="U19" s="40">
        <f>SUM(I19:S19)</f>
        <v>160391.66999999998</v>
      </c>
    </row>
    <row r="20" spans="2:21" ht="14.4" x14ac:dyDescent="0.3">
      <c r="B20" s="99" t="s">
        <v>30</v>
      </c>
      <c r="C20" s="99"/>
      <c r="H20" s="49">
        <f t="shared" ref="H20:S20" si="1">SUM(H17:H19)</f>
        <v>46545.520000000004</v>
      </c>
      <c r="I20" s="49">
        <f t="shared" si="1"/>
        <v>38075.990000000005</v>
      </c>
      <c r="J20" s="49">
        <f t="shared" si="1"/>
        <v>38314.129999999997</v>
      </c>
      <c r="K20" s="49">
        <f t="shared" si="1"/>
        <v>56805.020000000004</v>
      </c>
      <c r="L20" s="49">
        <f t="shared" si="1"/>
        <v>47333.64</v>
      </c>
      <c r="M20" s="49">
        <f t="shared" si="1"/>
        <v>49954.539999999994</v>
      </c>
      <c r="N20" s="49">
        <f t="shared" si="1"/>
        <v>10675.77</v>
      </c>
      <c r="O20" s="49">
        <f t="shared" si="1"/>
        <v>0</v>
      </c>
      <c r="P20" s="49">
        <f t="shared" si="1"/>
        <v>0</v>
      </c>
      <c r="Q20" s="49">
        <f t="shared" si="1"/>
        <v>0</v>
      </c>
      <c r="R20" s="49">
        <f t="shared" si="1"/>
        <v>0</v>
      </c>
      <c r="S20" s="49">
        <f t="shared" si="1"/>
        <v>0</v>
      </c>
      <c r="U20" s="49">
        <f>SUM(U17:U19)*-1</f>
        <v>-241159.09</v>
      </c>
    </row>
    <row r="22" spans="2:21" ht="14.4" x14ac:dyDescent="0.3">
      <c r="B22" s="99" t="s">
        <v>34</v>
      </c>
      <c r="C22" s="99"/>
      <c r="H22" s="52">
        <f t="shared" ref="H22:S22" si="2">H20/H12</f>
        <v>1.1462869284114106</v>
      </c>
      <c r="I22" s="52">
        <f t="shared" si="2"/>
        <v>0.9654364566749829</v>
      </c>
      <c r="J22" s="52">
        <f t="shared" si="2"/>
        <v>0.89143707711773534</v>
      </c>
      <c r="K22" s="52">
        <f t="shared" si="2"/>
        <v>1.2520952188826975</v>
      </c>
      <c r="L22" s="52">
        <f t="shared" si="2"/>
        <v>1.2013346995690728</v>
      </c>
      <c r="M22" s="52">
        <f t="shared" si="2"/>
        <v>1.5112144060017938</v>
      </c>
      <c r="N22" s="52">
        <f t="shared" si="2"/>
        <v>0.3444478107838434</v>
      </c>
      <c r="O22" s="52">
        <f t="shared" si="2"/>
        <v>0</v>
      </c>
      <c r="P22" s="52">
        <f t="shared" si="2"/>
        <v>0</v>
      </c>
      <c r="Q22" s="52">
        <f t="shared" si="2"/>
        <v>0</v>
      </c>
      <c r="R22" s="52">
        <f t="shared" si="2"/>
        <v>0</v>
      </c>
      <c r="S22" s="52">
        <f t="shared" si="2"/>
        <v>0</v>
      </c>
    </row>
  </sheetData>
  <mergeCells count="10">
    <mergeCell ref="B17:C17"/>
    <mergeCell ref="B18:C18"/>
    <mergeCell ref="B19:C19"/>
    <mergeCell ref="B20:C20"/>
    <mergeCell ref="B22:C22"/>
    <mergeCell ref="B8:C8"/>
    <mergeCell ref="B9:C9"/>
    <mergeCell ref="B10:C10"/>
    <mergeCell ref="B11:C11"/>
    <mergeCell ref="B12:C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U30"/>
  <sheetViews>
    <sheetView showGridLines="0" tabSelected="1" zoomScaleNormal="100" workbookViewId="0">
      <selection activeCell="M15" sqref="M15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2:21" ht="23.4" x14ac:dyDescent="0.3">
      <c r="B3" s="21"/>
      <c r="C3" s="22" t="s">
        <v>38</v>
      </c>
      <c r="D3" s="23"/>
      <c r="E3" s="23"/>
      <c r="F3" s="23"/>
      <c r="U3" s="23"/>
    </row>
    <row r="4" spans="2:21" ht="13.5" customHeight="1" x14ac:dyDescent="0.3">
      <c r="B4" s="21"/>
      <c r="C4" s="22"/>
      <c r="D4" s="23"/>
      <c r="E4" s="23"/>
      <c r="F4" s="23"/>
      <c r="U4" s="23"/>
    </row>
    <row r="5" spans="2:21" ht="23.4" x14ac:dyDescent="0.3">
      <c r="B5" s="24"/>
      <c r="C5" s="25" t="s">
        <v>15</v>
      </c>
      <c r="G5" s="26"/>
      <c r="H5" s="53">
        <v>46.742289999999997</v>
      </c>
      <c r="I5" s="53">
        <v>44.969740000000002</v>
      </c>
      <c r="J5" s="53">
        <v>48.820360000000001</v>
      </c>
      <c r="K5" s="53">
        <v>49.709690000000002</v>
      </c>
      <c r="L5" s="53">
        <v>44.913119999999999</v>
      </c>
      <c r="M5" s="53">
        <v>40.564749999999997</v>
      </c>
      <c r="N5" s="53">
        <v>39.52957</v>
      </c>
      <c r="O5" s="53">
        <v>39.67024</v>
      </c>
      <c r="P5" s="54">
        <v>45.45</v>
      </c>
      <c r="Q5" s="54">
        <v>48.5</v>
      </c>
      <c r="R5" s="54">
        <v>49.55</v>
      </c>
      <c r="S5" s="55">
        <v>45.29</v>
      </c>
    </row>
    <row r="6" spans="2:21" ht="12" customHeight="1" x14ac:dyDescent="0.3">
      <c r="B6" s="24"/>
      <c r="C6" s="24"/>
    </row>
    <row r="7" spans="2:21" ht="14.4" x14ac:dyDescent="0.3">
      <c r="B7" s="29" t="s">
        <v>16</v>
      </c>
      <c r="C7" s="29"/>
      <c r="D7" s="30" t="s">
        <v>17</v>
      </c>
      <c r="E7" s="30" t="s">
        <v>18</v>
      </c>
      <c r="F7" s="30" t="s">
        <v>19</v>
      </c>
      <c r="G7" s="31" t="s">
        <v>20</v>
      </c>
      <c r="H7" s="32">
        <v>46023</v>
      </c>
      <c r="I7" s="32">
        <v>46054</v>
      </c>
      <c r="J7" s="32">
        <v>46082</v>
      </c>
      <c r="K7" s="32">
        <v>46113</v>
      </c>
      <c r="L7" s="32">
        <v>46143</v>
      </c>
      <c r="M7" s="32">
        <v>46174</v>
      </c>
      <c r="N7" s="32">
        <v>46204</v>
      </c>
      <c r="O7" s="32">
        <v>46235</v>
      </c>
      <c r="P7" s="32">
        <v>46266</v>
      </c>
      <c r="Q7" s="32">
        <v>46296</v>
      </c>
      <c r="R7" s="32">
        <v>46327</v>
      </c>
      <c r="S7" s="32">
        <v>46357</v>
      </c>
      <c r="T7" s="33"/>
      <c r="U7" s="32" t="s">
        <v>10</v>
      </c>
    </row>
    <row r="8" spans="2:21" ht="14.4" x14ac:dyDescent="0.3">
      <c r="B8" s="98" t="s">
        <v>21</v>
      </c>
      <c r="C8" s="98"/>
      <c r="D8" s="34" t="s">
        <v>22</v>
      </c>
      <c r="E8" s="35" t="s">
        <v>23</v>
      </c>
      <c r="F8" s="36">
        <v>206</v>
      </c>
      <c r="G8" s="37">
        <f>F8*1.001</f>
        <v>206.20599999999999</v>
      </c>
      <c r="H8" s="38">
        <v>8378.9117399999996</v>
      </c>
      <c r="I8" s="38">
        <v>8013.7664400000003</v>
      </c>
      <c r="J8" s="38">
        <v>8806.9941600000002</v>
      </c>
      <c r="K8" s="39">
        <v>8990.19614</v>
      </c>
      <c r="L8" s="39">
        <v>9261.3548227200008</v>
      </c>
      <c r="M8" s="39">
        <v>8364.6948384999996</v>
      </c>
      <c r="N8" s="39">
        <v>8151.2345114199998</v>
      </c>
      <c r="O8" s="39">
        <v>8180.2415094400003</v>
      </c>
      <c r="P8" s="39">
        <v>9372.0627000000004</v>
      </c>
      <c r="Q8" s="39">
        <v>10000.991</v>
      </c>
      <c r="R8" s="39">
        <v>10217.507299999999</v>
      </c>
      <c r="S8" s="39">
        <v>9339.0697400000008</v>
      </c>
      <c r="U8" s="40">
        <f>SUM(H8:S8)</f>
        <v>107077.02490208</v>
      </c>
    </row>
    <row r="9" spans="2:21" ht="14.4" x14ac:dyDescent="0.3">
      <c r="B9" s="98" t="s">
        <v>24</v>
      </c>
      <c r="C9" s="98"/>
      <c r="D9" s="41" t="s">
        <v>25</v>
      </c>
      <c r="E9" s="42" t="s">
        <v>25</v>
      </c>
      <c r="F9" s="43" t="s">
        <v>25</v>
      </c>
      <c r="G9" s="44" t="s">
        <v>25</v>
      </c>
      <c r="H9" s="38">
        <v>500</v>
      </c>
      <c r="I9" s="38">
        <v>500</v>
      </c>
      <c r="J9" s="38">
        <v>500</v>
      </c>
      <c r="K9" s="38">
        <v>500</v>
      </c>
      <c r="L9" s="38">
        <v>500</v>
      </c>
      <c r="M9" s="38">
        <v>500</v>
      </c>
      <c r="N9" s="38">
        <v>500</v>
      </c>
      <c r="O9" s="38">
        <v>500</v>
      </c>
      <c r="P9" s="38">
        <v>500</v>
      </c>
      <c r="Q9" s="38">
        <v>500</v>
      </c>
      <c r="R9" s="38">
        <v>500</v>
      </c>
      <c r="S9" s="38">
        <v>500</v>
      </c>
      <c r="U9" s="40">
        <f>SUM(H9:S9)</f>
        <v>6000</v>
      </c>
    </row>
    <row r="10" spans="2:21" ht="14.4" x14ac:dyDescent="0.3">
      <c r="B10" s="98" t="s">
        <v>26</v>
      </c>
      <c r="C10" s="98"/>
      <c r="D10" s="41" t="s">
        <v>25</v>
      </c>
      <c r="E10" s="42" t="s">
        <v>25</v>
      </c>
      <c r="F10" s="43" t="s">
        <v>25</v>
      </c>
      <c r="G10" s="44" t="s">
        <v>25</v>
      </c>
      <c r="H10" s="38">
        <v>1250</v>
      </c>
      <c r="I10" s="38">
        <v>1250</v>
      </c>
      <c r="J10" s="38">
        <v>1250</v>
      </c>
      <c r="K10" s="38">
        <v>1250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45"/>
      <c r="U10" s="40">
        <f>SUM(H10:S10)</f>
        <v>5000</v>
      </c>
    </row>
    <row r="11" spans="2:21" ht="14.4" x14ac:dyDescent="0.3">
      <c r="B11" s="98" t="s">
        <v>37</v>
      </c>
      <c r="C11" s="98"/>
      <c r="D11" s="34" t="s">
        <v>28</v>
      </c>
      <c r="E11" s="35" t="s">
        <v>29</v>
      </c>
      <c r="F11" s="46">
        <v>272.5</v>
      </c>
      <c r="G11" s="37" t="e">
        <f>F11*(1+#REF!+#REF!)</f>
        <v>#REF!</v>
      </c>
      <c r="H11" s="38">
        <v>17373.793682542499</v>
      </c>
      <c r="I11" s="38">
        <v>16714.948812254999</v>
      </c>
      <c r="J11" s="38">
        <v>18146.198274570001</v>
      </c>
      <c r="K11" s="39">
        <v>19280.495128710299</v>
      </c>
      <c r="L11" s="39">
        <v>17420.088344449101</v>
      </c>
      <c r="M11" s="39">
        <v>15733.521266625299</v>
      </c>
      <c r="N11" s="39">
        <v>15332.014378383999</v>
      </c>
      <c r="O11" s="39">
        <v>15386.5749127538</v>
      </c>
      <c r="P11" s="39">
        <v>17628.323644743799</v>
      </c>
      <c r="Q11" s="39">
        <v>18811.3024591875</v>
      </c>
      <c r="R11" s="39">
        <v>19218.5574608813</v>
      </c>
      <c r="S11" s="39">
        <v>17566.2657397238</v>
      </c>
      <c r="T11" s="45"/>
      <c r="U11" s="40">
        <f>SUM(H11:S11)</f>
        <v>208612.08410482638</v>
      </c>
    </row>
    <row r="12" spans="2:21" ht="14.4" x14ac:dyDescent="0.3">
      <c r="B12" s="99" t="s">
        <v>30</v>
      </c>
      <c r="C12" s="99"/>
      <c r="D12" s="47"/>
      <c r="E12" s="48"/>
      <c r="F12" s="48"/>
      <c r="G12" s="48"/>
      <c r="H12" s="49">
        <f t="shared" ref="H12:S12" si="0">SUM(H8:H11)</f>
        <v>27502.705422542498</v>
      </c>
      <c r="I12" s="49">
        <f t="shared" si="0"/>
        <v>26478.715252254999</v>
      </c>
      <c r="J12" s="49">
        <f t="shared" si="0"/>
        <v>28703.192434570003</v>
      </c>
      <c r="K12" s="49">
        <f t="shared" si="0"/>
        <v>30020.691268710299</v>
      </c>
      <c r="L12" s="49">
        <f t="shared" si="0"/>
        <v>27181.443167169102</v>
      </c>
      <c r="M12" s="49">
        <f t="shared" si="0"/>
        <v>24598.216105125299</v>
      </c>
      <c r="N12" s="49">
        <f t="shared" si="0"/>
        <v>23983.248889803999</v>
      </c>
      <c r="O12" s="49">
        <f t="shared" si="0"/>
        <v>24066.816422193799</v>
      </c>
      <c r="P12" s="49">
        <f t="shared" si="0"/>
        <v>27500.386344743798</v>
      </c>
      <c r="Q12" s="49">
        <f t="shared" si="0"/>
        <v>29312.293459187502</v>
      </c>
      <c r="R12" s="49">
        <f t="shared" si="0"/>
        <v>29936.064760881301</v>
      </c>
      <c r="S12" s="49">
        <f t="shared" si="0"/>
        <v>27405.335479723799</v>
      </c>
      <c r="U12" s="49">
        <f>SUM(U8:U11)*-1</f>
        <v>-326689.10900690639</v>
      </c>
    </row>
    <row r="14" spans="2:21" ht="23.4" x14ac:dyDescent="0.3">
      <c r="B14" s="24"/>
      <c r="C14" s="25" t="s">
        <v>33</v>
      </c>
      <c r="G14" s="26"/>
      <c r="H14" s="27">
        <v>48.256349999999998</v>
      </c>
      <c r="I14" s="27">
        <v>46.61401</v>
      </c>
      <c r="J14" s="27">
        <v>51.074269999999999</v>
      </c>
      <c r="K14" s="27">
        <v>47.301760000000002</v>
      </c>
      <c r="L14" s="27">
        <v>40.326549999999997</v>
      </c>
      <c r="M14" s="27">
        <f>(30917.02+2007.39)/1000</f>
        <v>32.924410000000002</v>
      </c>
      <c r="N14" s="27"/>
      <c r="O14" s="27"/>
      <c r="P14" s="27"/>
      <c r="Q14" s="27"/>
      <c r="R14" s="27"/>
      <c r="S14" s="28"/>
    </row>
    <row r="16" spans="2:21" ht="14.4" x14ac:dyDescent="0.3">
      <c r="B16" s="29" t="s">
        <v>16</v>
      </c>
      <c r="C16" s="29"/>
      <c r="H16" s="32">
        <v>46023</v>
      </c>
      <c r="I16" s="32">
        <v>46054</v>
      </c>
      <c r="J16" s="32">
        <v>46082</v>
      </c>
      <c r="K16" s="32">
        <v>46113</v>
      </c>
      <c r="L16" s="32">
        <v>46143</v>
      </c>
      <c r="M16" s="32">
        <v>46174</v>
      </c>
      <c r="N16" s="32">
        <v>46204</v>
      </c>
      <c r="O16" s="32">
        <v>46235</v>
      </c>
      <c r="P16" s="32">
        <v>46266</v>
      </c>
      <c r="Q16" s="32">
        <v>46296</v>
      </c>
      <c r="R16" s="32">
        <v>46327</v>
      </c>
      <c r="S16" s="32">
        <v>46357</v>
      </c>
      <c r="U16" s="32" t="s">
        <v>10</v>
      </c>
    </row>
    <row r="17" spans="2:21" ht="14.4" x14ac:dyDescent="0.3">
      <c r="B17" s="98" t="s">
        <v>21</v>
      </c>
      <c r="C17" s="98"/>
      <c r="H17" s="38">
        <f>7624.94+889.95</f>
        <v>8514.89</v>
      </c>
      <c r="I17" s="38">
        <f>1184.79+8341.07</f>
        <v>9525.86</v>
      </c>
      <c r="J17" s="38">
        <f>8242.9+1145.27</f>
        <v>9388.17</v>
      </c>
      <c r="K17" s="38">
        <f>1291.5+8698.52</f>
        <v>9990.02</v>
      </c>
      <c r="L17" s="39">
        <f>8238.18+1163.2</f>
        <v>9401.380000000001</v>
      </c>
      <c r="M17" s="39">
        <f>987.03+6994.86</f>
        <v>7981.8899999999994</v>
      </c>
      <c r="N17" s="39">
        <f>6089.22+803.38</f>
        <v>6892.6</v>
      </c>
      <c r="O17" s="39"/>
      <c r="P17" s="39"/>
      <c r="Q17" s="39"/>
      <c r="R17" s="39"/>
      <c r="S17" s="39"/>
      <c r="U17" s="40">
        <f>SUM(I17:S17)</f>
        <v>53179.92</v>
      </c>
    </row>
    <row r="18" spans="2:21" ht="14.4" x14ac:dyDescent="0.3">
      <c r="B18" s="98" t="s">
        <v>26</v>
      </c>
      <c r="C18" s="98"/>
      <c r="H18" s="38">
        <v>1598.62</v>
      </c>
      <c r="I18" s="38">
        <v>799.47</v>
      </c>
      <c r="J18" s="38">
        <v>850.78</v>
      </c>
      <c r="K18" s="38">
        <v>1459.37</v>
      </c>
      <c r="L18" s="38">
        <v>474.9</v>
      </c>
      <c r="M18" s="38">
        <v>463.62</v>
      </c>
      <c r="N18" s="38">
        <v>0</v>
      </c>
      <c r="O18" s="38"/>
      <c r="P18" s="38"/>
      <c r="Q18" s="38"/>
      <c r="R18" s="38"/>
      <c r="S18" s="38"/>
      <c r="U18" s="40">
        <f>SUM(I18:S18)</f>
        <v>4048.14</v>
      </c>
    </row>
    <row r="19" spans="2:21" ht="14.4" x14ac:dyDescent="0.3">
      <c r="B19" s="98" t="s">
        <v>37</v>
      </c>
      <c r="C19" s="98"/>
      <c r="H19" s="38">
        <v>17837.66</v>
      </c>
      <c r="I19" s="38">
        <v>17447.13</v>
      </c>
      <c r="J19" s="38">
        <v>18943.98</v>
      </c>
      <c r="K19" s="38">
        <v>19531.669999999998</v>
      </c>
      <c r="L19" s="39">
        <v>19628.349999999999</v>
      </c>
      <c r="M19" s="39">
        <v>16994.38</v>
      </c>
      <c r="N19" s="39">
        <v>14876.12</v>
      </c>
      <c r="O19" s="39"/>
      <c r="P19" s="39"/>
      <c r="Q19" s="39"/>
      <c r="R19" s="39"/>
      <c r="S19" s="39"/>
      <c r="U19" s="40">
        <f>SUM(I19:S19)</f>
        <v>107421.63</v>
      </c>
    </row>
    <row r="20" spans="2:21" ht="14.4" x14ac:dyDescent="0.3">
      <c r="B20" s="99" t="s">
        <v>30</v>
      </c>
      <c r="C20" s="99"/>
      <c r="H20" s="49">
        <f t="shared" ref="H20:S20" si="1">SUM(H17:H19)</f>
        <v>27951.17</v>
      </c>
      <c r="I20" s="49">
        <f t="shared" si="1"/>
        <v>27772.46</v>
      </c>
      <c r="J20" s="49">
        <f t="shared" si="1"/>
        <v>29182.93</v>
      </c>
      <c r="K20" s="49">
        <f t="shared" si="1"/>
        <v>30981.059999999998</v>
      </c>
      <c r="L20" s="49">
        <f t="shared" si="1"/>
        <v>29504.629999999997</v>
      </c>
      <c r="M20" s="49">
        <f t="shared" si="1"/>
        <v>25439.89</v>
      </c>
      <c r="N20" s="49">
        <f t="shared" si="1"/>
        <v>21768.720000000001</v>
      </c>
      <c r="O20" s="49">
        <f t="shared" si="1"/>
        <v>0</v>
      </c>
      <c r="P20" s="49">
        <f t="shared" si="1"/>
        <v>0</v>
      </c>
      <c r="Q20" s="49">
        <f t="shared" si="1"/>
        <v>0</v>
      </c>
      <c r="R20" s="49">
        <f t="shared" si="1"/>
        <v>0</v>
      </c>
      <c r="S20" s="49">
        <f t="shared" si="1"/>
        <v>0</v>
      </c>
      <c r="U20" s="49">
        <f>SUM(U17:U19)*-1</f>
        <v>-164649.69</v>
      </c>
    </row>
    <row r="22" spans="2:21" ht="14.4" x14ac:dyDescent="0.3">
      <c r="B22" s="99" t="s">
        <v>34</v>
      </c>
      <c r="C22" s="99"/>
      <c r="H22" s="52">
        <f t="shared" ref="H22:S22" si="2">H20/H12</f>
        <v>1.0163061986290962</v>
      </c>
      <c r="I22" s="52">
        <f t="shared" si="2"/>
        <v>1.0488598006141865</v>
      </c>
      <c r="J22" s="52">
        <f t="shared" si="2"/>
        <v>1.0167137354677036</v>
      </c>
      <c r="K22" s="52">
        <f t="shared" si="2"/>
        <v>1.0319902270968244</v>
      </c>
      <c r="L22" s="52">
        <f t="shared" si="2"/>
        <v>1.0854695910935641</v>
      </c>
      <c r="M22" s="52">
        <f t="shared" si="2"/>
        <v>1.0342168672426342</v>
      </c>
      <c r="N22" s="52">
        <f t="shared" si="2"/>
        <v>0.90766351548203039</v>
      </c>
      <c r="O22" s="52">
        <f t="shared" si="2"/>
        <v>0</v>
      </c>
      <c r="P22" s="52">
        <f t="shared" si="2"/>
        <v>0</v>
      </c>
      <c r="Q22" s="52">
        <f t="shared" si="2"/>
        <v>0</v>
      </c>
      <c r="R22" s="52">
        <f t="shared" si="2"/>
        <v>0</v>
      </c>
      <c r="S22" s="52">
        <f t="shared" si="2"/>
        <v>0</v>
      </c>
    </row>
    <row r="26" spans="2:21" ht="14.25" hidden="1" customHeight="1" x14ac:dyDescent="0.3"/>
    <row r="27" spans="2:21" ht="14.25" hidden="1" customHeight="1" x14ac:dyDescent="0.3"/>
    <row r="28" spans="2:21" ht="14.25" hidden="1" customHeight="1" x14ac:dyDescent="0.3"/>
    <row r="29" spans="2:21" ht="14.25" hidden="1" customHeight="1" x14ac:dyDescent="0.3"/>
    <row r="30" spans="2:21" ht="14.25" hidden="1" customHeight="1" x14ac:dyDescent="0.3"/>
  </sheetData>
  <mergeCells count="10">
    <mergeCell ref="B17:C17"/>
    <mergeCell ref="B18:C18"/>
    <mergeCell ref="B19:C19"/>
    <mergeCell ref="B20:C20"/>
    <mergeCell ref="B22:C22"/>
    <mergeCell ref="B8:C8"/>
    <mergeCell ref="B9:C9"/>
    <mergeCell ref="B10:C10"/>
    <mergeCell ref="B11:C11"/>
    <mergeCell ref="B12:C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3:U23"/>
  <sheetViews>
    <sheetView showGridLines="0" topLeftCell="A7" zoomScaleNormal="100" workbookViewId="0">
      <selection activeCell="N25" sqref="N25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2:21" ht="23.4" x14ac:dyDescent="0.3">
      <c r="B3" s="21"/>
      <c r="C3" s="56" t="s">
        <v>39</v>
      </c>
      <c r="D3" s="57"/>
      <c r="E3" s="57"/>
      <c r="F3" s="57"/>
      <c r="G3" s="58"/>
      <c r="H3" s="58"/>
      <c r="U3" s="23"/>
    </row>
    <row r="4" spans="2:21" ht="13.5" customHeight="1" x14ac:dyDescent="0.3">
      <c r="B4" s="21"/>
      <c r="C4" s="22"/>
      <c r="D4" s="23"/>
      <c r="E4" s="23"/>
      <c r="F4" s="23"/>
      <c r="U4" s="23"/>
    </row>
    <row r="5" spans="2:21" ht="23.4" x14ac:dyDescent="0.3">
      <c r="B5" s="24"/>
      <c r="C5" s="25" t="s">
        <v>15</v>
      </c>
      <c r="G5" s="26"/>
      <c r="H5" s="27">
        <v>472</v>
      </c>
      <c r="I5" s="27">
        <v>420</v>
      </c>
      <c r="J5" s="27">
        <v>473</v>
      </c>
      <c r="K5" s="27">
        <v>488</v>
      </c>
      <c r="L5" s="27">
        <v>452</v>
      </c>
      <c r="M5" s="27">
        <v>400</v>
      </c>
      <c r="N5" s="27">
        <v>385</v>
      </c>
      <c r="O5" s="27">
        <v>391</v>
      </c>
      <c r="P5" s="27">
        <v>366</v>
      </c>
      <c r="Q5" s="27">
        <v>450</v>
      </c>
      <c r="R5" s="27">
        <v>415</v>
      </c>
      <c r="S5" s="28">
        <v>477</v>
      </c>
    </row>
    <row r="6" spans="2:21" ht="12" customHeight="1" x14ac:dyDescent="0.3">
      <c r="B6" s="24"/>
      <c r="C6" s="24"/>
    </row>
    <row r="7" spans="2:21" ht="14.4" x14ac:dyDescent="0.3">
      <c r="B7" s="100" t="s">
        <v>16</v>
      </c>
      <c r="C7" s="100"/>
      <c r="D7" s="30" t="s">
        <v>17</v>
      </c>
      <c r="E7" s="30" t="s">
        <v>18</v>
      </c>
      <c r="F7" s="30" t="s">
        <v>19</v>
      </c>
      <c r="G7" s="31" t="s">
        <v>20</v>
      </c>
      <c r="H7" s="59">
        <v>46023</v>
      </c>
      <c r="I7" s="59">
        <v>46054</v>
      </c>
      <c r="J7" s="59">
        <v>46082</v>
      </c>
      <c r="K7" s="59">
        <v>46113</v>
      </c>
      <c r="L7" s="59">
        <v>46143</v>
      </c>
      <c r="M7" s="59">
        <v>46174</v>
      </c>
      <c r="N7" s="59">
        <v>46204</v>
      </c>
      <c r="O7" s="59">
        <v>46235</v>
      </c>
      <c r="P7" s="59">
        <v>46266</v>
      </c>
      <c r="Q7" s="59">
        <v>46296</v>
      </c>
      <c r="R7" s="59">
        <v>46327</v>
      </c>
      <c r="S7" s="59">
        <v>46357</v>
      </c>
      <c r="T7" s="33"/>
      <c r="U7" s="59" t="s">
        <v>10</v>
      </c>
    </row>
    <row r="8" spans="2:21" ht="14.4" x14ac:dyDescent="0.3">
      <c r="B8" s="101" t="s">
        <v>40</v>
      </c>
      <c r="C8" s="101"/>
      <c r="D8" s="34" t="s">
        <v>22</v>
      </c>
      <c r="E8" s="35" t="s">
        <v>23</v>
      </c>
      <c r="F8" s="36">
        <v>206</v>
      </c>
      <c r="G8" s="37">
        <f>F8*1.001</f>
        <v>206.20599999999999</v>
      </c>
      <c r="H8" s="60">
        <v>146792</v>
      </c>
      <c r="I8" s="60">
        <v>130620</v>
      </c>
      <c r="J8" s="60">
        <v>147103</v>
      </c>
      <c r="K8" s="60">
        <v>158369.908</v>
      </c>
      <c r="L8" s="61">
        <v>146686.88200000001</v>
      </c>
      <c r="M8" s="61">
        <v>129811.4</v>
      </c>
      <c r="N8" s="61">
        <v>124943.4725</v>
      </c>
      <c r="O8" s="61">
        <v>126890.64350000001</v>
      </c>
      <c r="P8" s="61">
        <v>118777.431</v>
      </c>
      <c r="Q8" s="61">
        <v>146037.82500000001</v>
      </c>
      <c r="R8" s="61">
        <v>134679.32750000001</v>
      </c>
      <c r="S8" s="61">
        <v>154800.09450000001</v>
      </c>
      <c r="U8" s="61">
        <f>SUM(H8:S8)</f>
        <v>1665511.9840000002</v>
      </c>
    </row>
    <row r="9" spans="2:21" ht="14.4" x14ac:dyDescent="0.3">
      <c r="B9" s="101" t="s">
        <v>41</v>
      </c>
      <c r="C9" s="101"/>
      <c r="D9" s="41" t="s">
        <v>25</v>
      </c>
      <c r="E9" s="42" t="s">
        <v>25</v>
      </c>
      <c r="F9" s="43" t="s">
        <v>25</v>
      </c>
      <c r="G9" s="44" t="s">
        <v>25</v>
      </c>
      <c r="H9" s="60">
        <v>69950.399999999994</v>
      </c>
      <c r="I9" s="60">
        <v>62244</v>
      </c>
      <c r="J9" s="60">
        <v>70098.600000000006</v>
      </c>
      <c r="K9" s="60">
        <v>72321.600000000006</v>
      </c>
      <c r="L9" s="62"/>
      <c r="M9" s="62"/>
      <c r="N9" s="62"/>
      <c r="O9" s="62"/>
      <c r="P9" s="62"/>
      <c r="Q9" s="62"/>
      <c r="R9" s="62"/>
      <c r="S9" s="62"/>
      <c r="U9" s="61">
        <f>SUM(H9:S9)</f>
        <v>274614.59999999998</v>
      </c>
    </row>
    <row r="10" spans="2:21" ht="14.4" x14ac:dyDescent="0.3">
      <c r="B10" s="101" t="s">
        <v>42</v>
      </c>
      <c r="C10" s="101"/>
      <c r="D10" s="41" t="s">
        <v>25</v>
      </c>
      <c r="E10" s="42" t="s">
        <v>25</v>
      </c>
      <c r="F10" s="43" t="s">
        <v>25</v>
      </c>
      <c r="G10" s="44" t="s">
        <v>25</v>
      </c>
      <c r="H10" s="60" t="s">
        <v>25</v>
      </c>
      <c r="I10" s="60" t="s">
        <v>25</v>
      </c>
      <c r="J10" s="60" t="s">
        <v>25</v>
      </c>
      <c r="K10" s="62" t="s">
        <v>25</v>
      </c>
      <c r="L10" s="61">
        <v>115260</v>
      </c>
      <c r="M10" s="61">
        <v>102000</v>
      </c>
      <c r="N10" s="61">
        <v>98175</v>
      </c>
      <c r="O10" s="61">
        <v>99705</v>
      </c>
      <c r="P10" s="61">
        <v>93330</v>
      </c>
      <c r="Q10" s="61">
        <v>114750</v>
      </c>
      <c r="R10" s="61">
        <v>105825</v>
      </c>
      <c r="S10" s="61">
        <v>121635</v>
      </c>
      <c r="T10" s="45"/>
      <c r="U10" s="61">
        <f>SUM(H10:S10)</f>
        <v>850680</v>
      </c>
    </row>
    <row r="11" spans="2:21" ht="14.4" x14ac:dyDescent="0.3">
      <c r="B11" s="102" t="s">
        <v>24</v>
      </c>
      <c r="C11" s="102"/>
      <c r="D11" s="34" t="s">
        <v>28</v>
      </c>
      <c r="E11" s="35" t="s">
        <v>29</v>
      </c>
      <c r="F11" s="46">
        <v>272.5</v>
      </c>
      <c r="G11" s="37" t="e">
        <f>F11*(1+#REF!+#REF!)</f>
        <v>#REF!</v>
      </c>
      <c r="H11" s="60">
        <v>8000</v>
      </c>
      <c r="I11" s="60">
        <v>8000</v>
      </c>
      <c r="J11" s="60">
        <v>8000</v>
      </c>
      <c r="K11" s="60">
        <v>8000</v>
      </c>
      <c r="L11" s="60">
        <v>8000</v>
      </c>
      <c r="M11" s="60">
        <v>8000</v>
      </c>
      <c r="N11" s="60">
        <v>8000</v>
      </c>
      <c r="O11" s="60">
        <v>8000</v>
      </c>
      <c r="P11" s="60">
        <v>8000</v>
      </c>
      <c r="Q11" s="60">
        <v>8000</v>
      </c>
      <c r="R11" s="60">
        <v>8000</v>
      </c>
      <c r="S11" s="60">
        <v>8000</v>
      </c>
      <c r="T11" s="45"/>
      <c r="U11" s="61">
        <f>SUM(H11:S11)</f>
        <v>96000</v>
      </c>
    </row>
    <row r="12" spans="2:21" ht="14.4" x14ac:dyDescent="0.3">
      <c r="B12" s="105" t="s">
        <v>30</v>
      </c>
      <c r="C12" s="105"/>
      <c r="D12" s="47"/>
      <c r="E12" s="48"/>
      <c r="F12" s="48"/>
      <c r="G12" s="48"/>
      <c r="H12" s="63">
        <f t="shared" ref="H12:S12" si="0">SUM(H8:H11)</f>
        <v>224742.39999999999</v>
      </c>
      <c r="I12" s="63">
        <f t="shared" si="0"/>
        <v>200864</v>
      </c>
      <c r="J12" s="63">
        <f t="shared" si="0"/>
        <v>225201.6</v>
      </c>
      <c r="K12" s="63">
        <f t="shared" si="0"/>
        <v>238691.508</v>
      </c>
      <c r="L12" s="63">
        <f t="shared" si="0"/>
        <v>269946.88199999998</v>
      </c>
      <c r="M12" s="63">
        <f t="shared" si="0"/>
        <v>239811.4</v>
      </c>
      <c r="N12" s="63">
        <f t="shared" si="0"/>
        <v>231118.4725</v>
      </c>
      <c r="O12" s="63">
        <f t="shared" si="0"/>
        <v>234595.64350000001</v>
      </c>
      <c r="P12" s="63">
        <f t="shared" si="0"/>
        <v>220107.43099999998</v>
      </c>
      <c r="Q12" s="63">
        <f t="shared" si="0"/>
        <v>268787.82500000001</v>
      </c>
      <c r="R12" s="63">
        <f t="shared" si="0"/>
        <v>248504.32750000001</v>
      </c>
      <c r="S12" s="63">
        <f t="shared" si="0"/>
        <v>284435.09450000001</v>
      </c>
      <c r="U12" s="63">
        <f>SUM(U8:U11)*-1</f>
        <v>-2886806.5840000003</v>
      </c>
    </row>
    <row r="14" spans="2:21" ht="23.4" x14ac:dyDescent="0.3">
      <c r="B14" s="24"/>
      <c r="C14" s="25" t="s">
        <v>33</v>
      </c>
      <c r="G14" s="26"/>
      <c r="H14" s="27">
        <f>488109.24/1000</f>
        <v>488.10924</v>
      </c>
      <c r="I14" s="27">
        <v>432.93</v>
      </c>
      <c r="J14" s="27">
        <v>498.12</v>
      </c>
      <c r="K14" s="27">
        <v>464.53</v>
      </c>
      <c r="L14" s="27">
        <f>(424977.48+37808.64)/1000</f>
        <v>462.78611999999998</v>
      </c>
      <c r="M14" s="27"/>
      <c r="N14" s="27"/>
      <c r="O14" s="27"/>
      <c r="P14" s="27"/>
      <c r="Q14" s="27"/>
      <c r="R14" s="27"/>
      <c r="S14" s="28"/>
    </row>
    <row r="16" spans="2:21" ht="14.4" x14ac:dyDescent="0.3">
      <c r="B16" s="100" t="s">
        <v>16</v>
      </c>
      <c r="C16" s="100"/>
      <c r="D16" s="30" t="s">
        <v>17</v>
      </c>
      <c r="E16" s="30" t="s">
        <v>18</v>
      </c>
      <c r="F16" s="30" t="s">
        <v>19</v>
      </c>
      <c r="G16" s="31" t="s">
        <v>20</v>
      </c>
      <c r="H16" s="59">
        <v>46023</v>
      </c>
      <c r="I16" s="59">
        <v>46054</v>
      </c>
      <c r="J16" s="59">
        <v>46082</v>
      </c>
      <c r="K16" s="59">
        <v>46113</v>
      </c>
      <c r="L16" s="59">
        <v>46143</v>
      </c>
      <c r="M16" s="59">
        <v>46174</v>
      </c>
      <c r="N16" s="59">
        <v>46204</v>
      </c>
      <c r="O16" s="59">
        <v>46235</v>
      </c>
      <c r="P16" s="59">
        <v>46266</v>
      </c>
      <c r="Q16" s="59">
        <v>46296</v>
      </c>
      <c r="R16" s="59">
        <v>46327</v>
      </c>
      <c r="S16" s="59">
        <v>46357</v>
      </c>
      <c r="T16" s="33"/>
      <c r="U16" s="59" t="s">
        <v>10</v>
      </c>
    </row>
    <row r="17" spans="2:21" ht="14.4" x14ac:dyDescent="0.3">
      <c r="B17" s="101" t="s">
        <v>40</v>
      </c>
      <c r="C17" s="101"/>
      <c r="D17" s="34" t="s">
        <v>22</v>
      </c>
      <c r="E17" s="35" t="s">
        <v>23</v>
      </c>
      <c r="F17" s="36">
        <v>206</v>
      </c>
      <c r="G17" s="37">
        <f>F17*1.001</f>
        <v>206.20599999999999</v>
      </c>
      <c r="H17" s="60">
        <v>149675.54999999999</v>
      </c>
      <c r="I17" s="60">
        <v>153536.82</v>
      </c>
      <c r="J17" s="60">
        <v>146410.12</v>
      </c>
      <c r="K17" s="60">
        <v>157944.62</v>
      </c>
      <c r="L17" s="60">
        <v>162241.04999999999</v>
      </c>
      <c r="M17" s="61">
        <v>176534.97</v>
      </c>
      <c r="N17" s="61"/>
      <c r="O17" s="61"/>
      <c r="P17" s="61"/>
      <c r="Q17" s="61"/>
      <c r="R17" s="61"/>
      <c r="S17" s="61"/>
      <c r="U17" s="61">
        <f>SUM(I17:S17)</f>
        <v>796667.58</v>
      </c>
    </row>
    <row r="18" spans="2:21" ht="14.4" x14ac:dyDescent="0.3">
      <c r="B18" s="101" t="s">
        <v>41</v>
      </c>
      <c r="C18" s="101"/>
      <c r="D18" s="41" t="s">
        <v>25</v>
      </c>
      <c r="E18" s="42" t="s">
        <v>25</v>
      </c>
      <c r="F18" s="43" t="s">
        <v>25</v>
      </c>
      <c r="G18" s="44" t="s">
        <v>25</v>
      </c>
      <c r="H18" s="60">
        <v>68692.34</v>
      </c>
      <c r="I18" s="60">
        <v>88637.68</v>
      </c>
      <c r="J18" s="60">
        <v>78499.63</v>
      </c>
      <c r="K18" s="60">
        <v>90987.39</v>
      </c>
      <c r="L18" s="60">
        <v>88013.48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U18" s="61">
        <f>SUM(I18:S18)</f>
        <v>346138.18</v>
      </c>
    </row>
    <row r="19" spans="2:21" ht="14.4" x14ac:dyDescent="0.3">
      <c r="B19" s="101" t="s">
        <v>43</v>
      </c>
      <c r="C19" s="101"/>
      <c r="D19" s="41" t="s">
        <v>25</v>
      </c>
      <c r="E19" s="42" t="s">
        <v>25</v>
      </c>
      <c r="F19" s="43" t="s">
        <v>25</v>
      </c>
      <c r="G19" s="44" t="s">
        <v>25</v>
      </c>
      <c r="H19" s="60"/>
      <c r="I19" s="60">
        <v>0</v>
      </c>
      <c r="J19" s="60">
        <v>0</v>
      </c>
      <c r="K19" s="60">
        <v>0</v>
      </c>
      <c r="L19" s="62"/>
      <c r="M19" s="61">
        <v>132199.64000000001</v>
      </c>
      <c r="N19" s="61">
        <v>115908</v>
      </c>
      <c r="O19" s="61"/>
      <c r="P19" s="61"/>
      <c r="Q19" s="61"/>
      <c r="R19" s="61"/>
      <c r="S19" s="61"/>
      <c r="T19" s="45"/>
      <c r="U19" s="61">
        <f>SUM(I19:S19)</f>
        <v>248107.64</v>
      </c>
    </row>
    <row r="20" spans="2:21" ht="14.4" x14ac:dyDescent="0.3">
      <c r="B20" s="101" t="s">
        <v>24</v>
      </c>
      <c r="C20" s="101"/>
      <c r="D20" s="34" t="s">
        <v>28</v>
      </c>
      <c r="E20" s="35" t="s">
        <v>29</v>
      </c>
      <c r="F20" s="46">
        <v>272.5</v>
      </c>
      <c r="G20" s="37" t="e">
        <f>F20*(1+#REF!+#REF!)</f>
        <v>#REF!</v>
      </c>
      <c r="H20" s="60">
        <v>4810.04</v>
      </c>
      <c r="I20" s="60">
        <v>12100.08</v>
      </c>
      <c r="J20" s="60">
        <v>12901.9</v>
      </c>
      <c r="K20" s="60">
        <v>12229.99</v>
      </c>
      <c r="L20" s="60">
        <v>8451.16</v>
      </c>
      <c r="M20" s="60">
        <v>12806.92</v>
      </c>
      <c r="N20" s="60">
        <v>71376.929999999993</v>
      </c>
      <c r="O20" s="60"/>
      <c r="P20" s="60"/>
      <c r="Q20" s="60"/>
      <c r="R20" s="60"/>
      <c r="S20" s="60"/>
      <c r="T20" s="45"/>
      <c r="U20" s="61">
        <f>SUM(I20:S20)</f>
        <v>129866.98</v>
      </c>
    </row>
    <row r="21" spans="2:21" ht="14.4" x14ac:dyDescent="0.3">
      <c r="B21" s="103" t="s">
        <v>30</v>
      </c>
      <c r="C21" s="103"/>
      <c r="D21" s="47"/>
      <c r="E21" s="48"/>
      <c r="F21" s="48"/>
      <c r="G21" s="48"/>
      <c r="H21" s="63">
        <f t="shared" ref="H21:S21" si="1">SUM(H17:H20)</f>
        <v>223177.93</v>
      </c>
      <c r="I21" s="63">
        <f t="shared" si="1"/>
        <v>254274.58</v>
      </c>
      <c r="J21" s="63">
        <f t="shared" si="1"/>
        <v>237811.65</v>
      </c>
      <c r="K21" s="63">
        <f t="shared" si="1"/>
        <v>261162</v>
      </c>
      <c r="L21" s="63">
        <f t="shared" si="1"/>
        <v>258705.68999999997</v>
      </c>
      <c r="M21" s="63">
        <f t="shared" si="1"/>
        <v>321541.52999999997</v>
      </c>
      <c r="N21" s="63">
        <f t="shared" si="1"/>
        <v>187284.93</v>
      </c>
      <c r="O21" s="63">
        <f t="shared" si="1"/>
        <v>0</v>
      </c>
      <c r="P21" s="63">
        <f t="shared" si="1"/>
        <v>0</v>
      </c>
      <c r="Q21" s="63">
        <f t="shared" si="1"/>
        <v>0</v>
      </c>
      <c r="R21" s="63">
        <f t="shared" si="1"/>
        <v>0</v>
      </c>
      <c r="S21" s="63">
        <f t="shared" si="1"/>
        <v>0</v>
      </c>
      <c r="U21" s="63">
        <f>SUM(U17:U20)*-1</f>
        <v>-1520780.38</v>
      </c>
    </row>
    <row r="23" spans="2:21" ht="14.4" x14ac:dyDescent="0.3">
      <c r="B23" s="104" t="s">
        <v>34</v>
      </c>
      <c r="C23" s="104"/>
      <c r="D23" s="64"/>
      <c r="E23" s="64"/>
      <c r="F23" s="64"/>
      <c r="G23" s="64"/>
      <c r="H23" s="65">
        <f t="shared" ref="H23:S23" si="2">H21/H12</f>
        <v>0.99303883023408135</v>
      </c>
      <c r="I23" s="65">
        <f t="shared" si="2"/>
        <v>1.2659041938824278</v>
      </c>
      <c r="J23" s="65">
        <f t="shared" si="2"/>
        <v>1.0559944955986102</v>
      </c>
      <c r="K23" s="65">
        <f t="shared" si="2"/>
        <v>1.0941403076644016</v>
      </c>
      <c r="L23" s="65">
        <f t="shared" si="2"/>
        <v>0.9583577631394905</v>
      </c>
      <c r="M23" s="65">
        <f t="shared" si="2"/>
        <v>1.340810028213838</v>
      </c>
      <c r="N23" s="65">
        <f t="shared" si="2"/>
        <v>0.810341674441449</v>
      </c>
      <c r="O23" s="65">
        <f t="shared" si="2"/>
        <v>0</v>
      </c>
      <c r="P23" s="65">
        <f t="shared" si="2"/>
        <v>0</v>
      </c>
      <c r="Q23" s="65">
        <f t="shared" si="2"/>
        <v>0</v>
      </c>
      <c r="R23" s="65">
        <f t="shared" si="2"/>
        <v>0</v>
      </c>
      <c r="S23" s="65">
        <f t="shared" si="2"/>
        <v>0</v>
      </c>
      <c r="U23" s="65">
        <f>U21/U12</f>
        <v>0.52680369666220761</v>
      </c>
    </row>
  </sheetData>
  <mergeCells count="13">
    <mergeCell ref="B20:C20"/>
    <mergeCell ref="B21:C21"/>
    <mergeCell ref="B23:C23"/>
    <mergeCell ref="B12:C12"/>
    <mergeCell ref="B16:C16"/>
    <mergeCell ref="B17:C17"/>
    <mergeCell ref="B18:C18"/>
    <mergeCell ref="B19:C19"/>
    <mergeCell ref="B7:C7"/>
    <mergeCell ref="B8:C8"/>
    <mergeCell ref="B9:C9"/>
    <mergeCell ref="B10:C10"/>
    <mergeCell ref="B11:C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U18"/>
  <sheetViews>
    <sheetView showGridLines="0" zoomScaleNormal="100" workbookViewId="0">
      <selection activeCell="O21" sqref="O21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44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23.4" x14ac:dyDescent="0.45">
      <c r="A5" s="21"/>
      <c r="B5" s="66"/>
      <c r="C5" s="67" t="s">
        <v>45</v>
      </c>
      <c r="E5" s="107" t="s">
        <v>46</v>
      </c>
      <c r="F5" s="107"/>
      <c r="G5" s="67">
        <f>'[1]Rateio UFV - Faturamento (R$)'!G82</f>
        <v>-1469.9317635072</v>
      </c>
      <c r="H5" s="67">
        <v>8070</v>
      </c>
      <c r="I5" s="67">
        <v>8070</v>
      </c>
      <c r="J5" s="67">
        <v>8070</v>
      </c>
      <c r="K5" s="67">
        <v>8070</v>
      </c>
      <c r="L5" s="67">
        <v>8070</v>
      </c>
      <c r="M5" s="67">
        <v>8400</v>
      </c>
      <c r="N5" s="67">
        <v>8040</v>
      </c>
      <c r="O5" s="67">
        <v>7840</v>
      </c>
      <c r="P5" s="67">
        <v>8000</v>
      </c>
      <c r="Q5" s="67">
        <v>8070</v>
      </c>
      <c r="R5" s="67">
        <v>8070</v>
      </c>
      <c r="S5">
        <v>8070</v>
      </c>
    </row>
    <row r="6" spans="1:21" ht="12" customHeight="1" x14ac:dyDescent="0.45">
      <c r="A6" s="21"/>
      <c r="B6" s="66"/>
      <c r="C6" s="68"/>
    </row>
    <row r="7" spans="1:21" ht="14.25" customHeight="1" x14ac:dyDescent="0.3">
      <c r="A7" s="21"/>
      <c r="B7" s="108" t="s">
        <v>47</v>
      </c>
      <c r="C7" s="108"/>
      <c r="D7" s="69" t="s">
        <v>48</v>
      </c>
      <c r="E7" s="69" t="s">
        <v>17</v>
      </c>
      <c r="F7" s="69" t="s">
        <v>18</v>
      </c>
      <c r="G7" s="69" t="s">
        <v>49</v>
      </c>
      <c r="H7" s="70">
        <v>46023</v>
      </c>
      <c r="I7" s="70">
        <v>46054</v>
      </c>
      <c r="J7" s="70">
        <v>46082</v>
      </c>
      <c r="K7" s="70">
        <v>46113</v>
      </c>
      <c r="L7" s="70">
        <v>46143</v>
      </c>
      <c r="M7" s="70">
        <v>46174</v>
      </c>
      <c r="N7" s="70">
        <v>46204</v>
      </c>
      <c r="O7" s="70">
        <v>46235</v>
      </c>
      <c r="P7" s="70">
        <v>46266</v>
      </c>
      <c r="Q7" s="70">
        <v>46296</v>
      </c>
      <c r="R7" s="70">
        <v>46327</v>
      </c>
      <c r="S7" s="70">
        <v>46357</v>
      </c>
      <c r="U7" s="70" t="s">
        <v>10</v>
      </c>
    </row>
    <row r="8" spans="1:21" ht="14.25" customHeight="1" x14ac:dyDescent="0.3">
      <c r="A8" s="21"/>
      <c r="B8" s="21"/>
      <c r="C8" t="s">
        <v>50</v>
      </c>
      <c r="D8" s="34">
        <f>'[1]Rateio UFV - Faturamento (R$)'!H81</f>
        <v>7646.94</v>
      </c>
      <c r="E8" s="34" t="s">
        <v>28</v>
      </c>
      <c r="F8" s="42" t="s">
        <v>29</v>
      </c>
      <c r="G8" s="44" t="e">
        <f>D8*(1+#REF!)</f>
        <v>#REF!</v>
      </c>
      <c r="H8" s="45">
        <v>9441.9</v>
      </c>
      <c r="I8" s="45">
        <v>9441.9</v>
      </c>
      <c r="J8" s="45">
        <v>9441.9</v>
      </c>
      <c r="K8" s="71">
        <v>9852.6226499999993</v>
      </c>
      <c r="L8" s="71">
        <v>9852.6226499999993</v>
      </c>
      <c r="M8" s="71">
        <v>10255.518</v>
      </c>
      <c r="N8" s="71">
        <v>9815.9958000000006</v>
      </c>
      <c r="O8" s="71">
        <v>9571.8168000000005</v>
      </c>
      <c r="P8" s="71">
        <v>9767.16</v>
      </c>
      <c r="Q8" s="71">
        <v>9852.6226499999993</v>
      </c>
      <c r="R8" s="71">
        <v>9852.6226499999993</v>
      </c>
      <c r="S8" s="71">
        <v>9852.6226499999993</v>
      </c>
      <c r="U8" s="40">
        <f>SUM(H8:S8)</f>
        <v>116999.30385000001</v>
      </c>
    </row>
    <row r="9" spans="1:21" ht="14.25" customHeight="1" x14ac:dyDescent="0.3">
      <c r="B9" s="106" t="s">
        <v>30</v>
      </c>
      <c r="C9" s="106"/>
      <c r="D9" s="72"/>
      <c r="E9" s="72"/>
      <c r="F9" s="73"/>
      <c r="G9" s="73"/>
      <c r="H9" s="74">
        <f t="shared" ref="H9:S9" si="0">SUM(H8)</f>
        <v>9441.9</v>
      </c>
      <c r="I9" s="74">
        <f t="shared" si="0"/>
        <v>9441.9</v>
      </c>
      <c r="J9" s="74">
        <f t="shared" si="0"/>
        <v>9441.9</v>
      </c>
      <c r="K9" s="74">
        <f t="shared" si="0"/>
        <v>9852.6226499999993</v>
      </c>
      <c r="L9" s="74">
        <f t="shared" si="0"/>
        <v>9852.6226499999993</v>
      </c>
      <c r="M9" s="74">
        <f t="shared" si="0"/>
        <v>10255.518</v>
      </c>
      <c r="N9" s="74">
        <f t="shared" si="0"/>
        <v>9815.9958000000006</v>
      </c>
      <c r="O9" s="74">
        <f t="shared" si="0"/>
        <v>9571.8168000000005</v>
      </c>
      <c r="P9" s="74">
        <f t="shared" si="0"/>
        <v>9767.16</v>
      </c>
      <c r="Q9" s="74">
        <f t="shared" si="0"/>
        <v>9852.6226499999993</v>
      </c>
      <c r="R9" s="74">
        <f t="shared" si="0"/>
        <v>9852.6226499999993</v>
      </c>
      <c r="S9" s="74">
        <f t="shared" si="0"/>
        <v>9852.6226499999993</v>
      </c>
      <c r="U9" s="74">
        <f>SUM(U8)*-1</f>
        <v>-116999.30385000001</v>
      </c>
    </row>
    <row r="12" spans="1:21" ht="23.25" customHeight="1" x14ac:dyDescent="0.45">
      <c r="B12" s="66"/>
      <c r="C12" s="67" t="s">
        <v>45</v>
      </c>
      <c r="E12" s="107" t="s">
        <v>46</v>
      </c>
      <c r="F12" s="107"/>
      <c r="G12" s="67">
        <f>'[1]Rateio UFV - Faturamento (R$)'!G89</f>
        <v>0</v>
      </c>
      <c r="H12" s="67">
        <v>16360</v>
      </c>
      <c r="I12" s="67">
        <v>13560</v>
      </c>
      <c r="J12" s="67">
        <v>11440</v>
      </c>
      <c r="K12" s="67">
        <v>10560</v>
      </c>
      <c r="L12" s="67">
        <v>10560</v>
      </c>
      <c r="M12" s="67">
        <v>10320</v>
      </c>
      <c r="N12" s="67">
        <v>10560</v>
      </c>
      <c r="O12" s="67"/>
      <c r="P12" s="67"/>
      <c r="Q12" s="67"/>
      <c r="R12" s="67"/>
      <c r="S12" s="67"/>
    </row>
    <row r="13" spans="1:21" ht="14.25" customHeight="1" x14ac:dyDescent="0.45">
      <c r="B13" s="66"/>
      <c r="C13" s="68"/>
    </row>
    <row r="14" spans="1:21" ht="14.25" customHeight="1" x14ac:dyDescent="0.3">
      <c r="B14" s="108" t="s">
        <v>47</v>
      </c>
      <c r="C14" s="108"/>
      <c r="D14" s="69" t="s">
        <v>48</v>
      </c>
      <c r="E14" s="69" t="s">
        <v>17</v>
      </c>
      <c r="F14" s="69" t="s">
        <v>18</v>
      </c>
      <c r="G14" s="69" t="s">
        <v>49</v>
      </c>
      <c r="H14" s="70">
        <v>46023</v>
      </c>
      <c r="I14" s="70">
        <v>46054</v>
      </c>
      <c r="J14" s="70">
        <v>46082</v>
      </c>
      <c r="K14" s="70">
        <v>46113</v>
      </c>
      <c r="L14" s="70">
        <v>46143</v>
      </c>
      <c r="M14" s="70">
        <v>46174</v>
      </c>
      <c r="N14" s="70">
        <v>46204</v>
      </c>
      <c r="O14" s="70">
        <v>46235</v>
      </c>
      <c r="P14" s="70">
        <v>46266</v>
      </c>
      <c r="Q14" s="70">
        <v>46296</v>
      </c>
      <c r="R14" s="70">
        <v>46327</v>
      </c>
      <c r="S14" s="70">
        <v>46357</v>
      </c>
      <c r="U14" s="70" t="s">
        <v>10</v>
      </c>
    </row>
    <row r="15" spans="1:21" ht="14.25" customHeight="1" x14ac:dyDescent="0.3">
      <c r="B15" s="21"/>
      <c r="C15" t="s">
        <v>50</v>
      </c>
      <c r="D15" s="34">
        <f>'[1]Rateio UFV - Faturamento (R$)'!H88</f>
        <v>0</v>
      </c>
      <c r="E15" s="34" t="s">
        <v>28</v>
      </c>
      <c r="F15" s="42" t="s">
        <v>29</v>
      </c>
      <c r="G15" s="44" t="e">
        <f>D15*(1+#REF!)</f>
        <v>#REF!</v>
      </c>
      <c r="H15" s="45">
        <v>18228</v>
      </c>
      <c r="I15" s="45">
        <v>14905.8</v>
      </c>
      <c r="J15" s="45">
        <v>12597.55</v>
      </c>
      <c r="K15" s="71">
        <v>11764.91</v>
      </c>
      <c r="L15" s="71">
        <v>12331.38</v>
      </c>
      <c r="M15" s="71">
        <v>12377.08</v>
      </c>
      <c r="N15" s="71">
        <v>12609.77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U15" s="40">
        <f>SUM(H15:S15)</f>
        <v>94814.49000000002</v>
      </c>
    </row>
    <row r="16" spans="1:21" ht="14.25" customHeight="1" x14ac:dyDescent="0.3">
      <c r="B16" s="106" t="s">
        <v>30</v>
      </c>
      <c r="C16" s="106"/>
      <c r="D16" s="72"/>
      <c r="E16" s="72"/>
      <c r="F16" s="73"/>
      <c r="G16" s="73"/>
      <c r="H16" s="74">
        <f t="shared" ref="H16:S16" si="1">SUM(H15)</f>
        <v>18228</v>
      </c>
      <c r="I16" s="74">
        <f t="shared" si="1"/>
        <v>14905.8</v>
      </c>
      <c r="J16" s="74">
        <f t="shared" si="1"/>
        <v>12597.55</v>
      </c>
      <c r="K16" s="74">
        <f t="shared" si="1"/>
        <v>11764.91</v>
      </c>
      <c r="L16" s="74">
        <f t="shared" si="1"/>
        <v>12331.38</v>
      </c>
      <c r="M16" s="74">
        <f t="shared" si="1"/>
        <v>12377.08</v>
      </c>
      <c r="N16" s="74">
        <f t="shared" si="1"/>
        <v>12609.77</v>
      </c>
      <c r="O16" s="74">
        <f t="shared" si="1"/>
        <v>0</v>
      </c>
      <c r="P16" s="74">
        <f t="shared" si="1"/>
        <v>0</v>
      </c>
      <c r="Q16" s="74">
        <f t="shared" si="1"/>
        <v>0</v>
      </c>
      <c r="R16" s="74">
        <f t="shared" si="1"/>
        <v>0</v>
      </c>
      <c r="S16" s="74">
        <f t="shared" si="1"/>
        <v>0</v>
      </c>
      <c r="U16" s="74">
        <f>SUM(U15)*-1</f>
        <v>-94814.49000000002</v>
      </c>
    </row>
    <row r="18" spans="2:21" ht="14.4" x14ac:dyDescent="0.3">
      <c r="B18" s="99" t="s">
        <v>34</v>
      </c>
      <c r="C18" s="99"/>
      <c r="H18" s="52">
        <f t="shared" ref="H18:S18" si="2">H16/H9</f>
        <v>1.9305436405808154</v>
      </c>
      <c r="I18" s="52">
        <f t="shared" si="2"/>
        <v>1.5786864931846345</v>
      </c>
      <c r="J18" s="52">
        <f t="shared" si="2"/>
        <v>1.3342176892362765</v>
      </c>
      <c r="K18" s="52">
        <f t="shared" si="2"/>
        <v>1.1940891697501477</v>
      </c>
      <c r="L18" s="52">
        <f t="shared" si="2"/>
        <v>1.2515835060424241</v>
      </c>
      <c r="M18" s="52">
        <f t="shared" si="2"/>
        <v>1.2068702916810248</v>
      </c>
      <c r="N18" s="52">
        <f t="shared" si="2"/>
        <v>1.2846144453321791</v>
      </c>
      <c r="O18" s="52">
        <f t="shared" si="2"/>
        <v>0</v>
      </c>
      <c r="P18" s="52">
        <f t="shared" si="2"/>
        <v>0</v>
      </c>
      <c r="Q18" s="52">
        <f t="shared" si="2"/>
        <v>0</v>
      </c>
      <c r="R18" s="52">
        <f t="shared" si="2"/>
        <v>0</v>
      </c>
      <c r="S18" s="52">
        <f t="shared" si="2"/>
        <v>0</v>
      </c>
      <c r="U18" s="52">
        <f>U16/U9</f>
        <v>0.81038507820147176</v>
      </c>
    </row>
  </sheetData>
  <mergeCells count="7">
    <mergeCell ref="B16:C16"/>
    <mergeCell ref="B18:C18"/>
    <mergeCell ref="E5:F5"/>
    <mergeCell ref="B7:C7"/>
    <mergeCell ref="B9:C9"/>
    <mergeCell ref="E12:F12"/>
    <mergeCell ref="B14:C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U20"/>
  <sheetViews>
    <sheetView showGridLines="0" zoomScaleNormal="100" workbookViewId="0">
      <selection activeCell="C32" sqref="C32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51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23.4" x14ac:dyDescent="0.45">
      <c r="A5" s="21"/>
      <c r="B5" s="66"/>
      <c r="C5" s="67" t="s">
        <v>45</v>
      </c>
      <c r="E5" s="107" t="s">
        <v>46</v>
      </c>
      <c r="F5" s="107"/>
      <c r="G5" s="67">
        <f>'[1]Rateio UFV - Faturamento (R$)'!G82</f>
        <v>-1469.9317635072</v>
      </c>
      <c r="H5" s="67">
        <v>1939</v>
      </c>
      <c r="I5" s="67">
        <v>2621</v>
      </c>
      <c r="J5" s="67">
        <v>1994</v>
      </c>
      <c r="K5" s="67">
        <v>2409</v>
      </c>
      <c r="L5" s="67">
        <v>2604</v>
      </c>
      <c r="M5" s="67">
        <v>2188</v>
      </c>
      <c r="N5" s="67">
        <v>1637</v>
      </c>
      <c r="O5" s="67">
        <v>1790</v>
      </c>
      <c r="P5" s="67">
        <v>1530</v>
      </c>
      <c r="Q5" s="67">
        <v>2462</v>
      </c>
      <c r="R5" s="67">
        <v>2151</v>
      </c>
      <c r="S5" s="67">
        <v>1881</v>
      </c>
    </row>
    <row r="6" spans="1:21" ht="12" customHeight="1" x14ac:dyDescent="0.45">
      <c r="A6" s="21"/>
      <c r="B6" s="66"/>
      <c r="C6" s="68"/>
    </row>
    <row r="7" spans="1:21" ht="14.25" customHeight="1" x14ac:dyDescent="0.3">
      <c r="A7" s="21"/>
      <c r="B7" s="108" t="s">
        <v>47</v>
      </c>
      <c r="C7" s="108"/>
      <c r="D7" s="69" t="s">
        <v>48</v>
      </c>
      <c r="E7" s="69" t="s">
        <v>17</v>
      </c>
      <c r="F7" s="69" t="s">
        <v>18</v>
      </c>
      <c r="G7" s="69" t="s">
        <v>49</v>
      </c>
      <c r="H7" s="70">
        <v>46023</v>
      </c>
      <c r="I7" s="70">
        <v>46054</v>
      </c>
      <c r="J7" s="70">
        <v>46082</v>
      </c>
      <c r="K7" s="70">
        <v>46113</v>
      </c>
      <c r="L7" s="70">
        <v>46143</v>
      </c>
      <c r="M7" s="70">
        <v>46174</v>
      </c>
      <c r="N7" s="70">
        <v>46204</v>
      </c>
      <c r="O7" s="70">
        <v>46235</v>
      </c>
      <c r="P7" s="70">
        <v>46266</v>
      </c>
      <c r="Q7" s="70">
        <v>46296</v>
      </c>
      <c r="R7" s="70">
        <v>46327</v>
      </c>
      <c r="S7" s="70">
        <v>46357</v>
      </c>
      <c r="U7" s="70" t="s">
        <v>10</v>
      </c>
    </row>
    <row r="8" spans="1:21" ht="14.25" customHeight="1" x14ac:dyDescent="0.3">
      <c r="A8" s="21"/>
      <c r="B8" s="21"/>
      <c r="C8" t="s">
        <v>50</v>
      </c>
      <c r="D8" s="34">
        <f>'[1]Rateio UFV - Faturamento (R$)'!H81</f>
        <v>7646.94</v>
      </c>
      <c r="E8" s="34" t="s">
        <v>28</v>
      </c>
      <c r="F8" s="42" t="s">
        <v>29</v>
      </c>
      <c r="G8" s="44" t="e">
        <f>D8*(1+#REF!)</f>
        <v>#REF!</v>
      </c>
      <c r="H8" s="75">
        <v>2690.3625000000002</v>
      </c>
      <c r="I8" s="75">
        <v>3636.6374999999998</v>
      </c>
      <c r="J8" s="75">
        <v>2766.6750000000002</v>
      </c>
      <c r="K8" s="76">
        <v>3571.4478937499998</v>
      </c>
      <c r="L8" s="76">
        <v>3860.5439249999999</v>
      </c>
      <c r="M8" s="76">
        <v>3243.8057250000002</v>
      </c>
      <c r="N8" s="76">
        <v>2426.9241187500002</v>
      </c>
      <c r="O8" s="76">
        <v>2653.7533125</v>
      </c>
      <c r="P8" s="76">
        <v>2268.2919375000001</v>
      </c>
      <c r="Q8" s="76">
        <v>3650.0227125000001</v>
      </c>
      <c r="R8" s="76">
        <v>3188.9516062500002</v>
      </c>
      <c r="S8" s="76">
        <v>2788.6647937500002</v>
      </c>
      <c r="U8" s="40">
        <f>SUM(H8:S8)</f>
        <v>36746.081024999999</v>
      </c>
    </row>
    <row r="9" spans="1:21" ht="14.25" customHeight="1" x14ac:dyDescent="0.3">
      <c r="A9" s="21"/>
      <c r="B9" s="21"/>
      <c r="C9" s="77" t="s">
        <v>52</v>
      </c>
      <c r="D9" s="78"/>
      <c r="E9" s="78"/>
      <c r="F9" s="43"/>
      <c r="G9" s="46"/>
      <c r="H9" s="38">
        <v>0</v>
      </c>
      <c r="I9" s="38">
        <v>0</v>
      </c>
      <c r="J9" s="38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U9" s="40">
        <f>SUM(H9:S9)</f>
        <v>0</v>
      </c>
    </row>
    <row r="10" spans="1:21" ht="14.25" customHeight="1" x14ac:dyDescent="0.3">
      <c r="B10" s="106" t="s">
        <v>30</v>
      </c>
      <c r="C10" s="106"/>
      <c r="D10" s="72"/>
      <c r="E10" s="72"/>
      <c r="F10" s="73"/>
      <c r="G10" s="73"/>
      <c r="H10" s="74">
        <f t="shared" ref="H10:S10" si="0">SUM(H8)</f>
        <v>2690.3625000000002</v>
      </c>
      <c r="I10" s="74">
        <f t="shared" si="0"/>
        <v>3636.6374999999998</v>
      </c>
      <c r="J10" s="74">
        <f t="shared" si="0"/>
        <v>2766.6750000000002</v>
      </c>
      <c r="K10" s="74">
        <f t="shared" si="0"/>
        <v>3571.4478937499998</v>
      </c>
      <c r="L10" s="74">
        <f t="shared" si="0"/>
        <v>3860.5439249999999</v>
      </c>
      <c r="M10" s="74">
        <f t="shared" si="0"/>
        <v>3243.8057250000002</v>
      </c>
      <c r="N10" s="74">
        <f t="shared" si="0"/>
        <v>2426.9241187500002</v>
      </c>
      <c r="O10" s="74">
        <f t="shared" si="0"/>
        <v>2653.7533125</v>
      </c>
      <c r="P10" s="74">
        <f t="shared" si="0"/>
        <v>2268.2919375000001</v>
      </c>
      <c r="Q10" s="74">
        <f t="shared" si="0"/>
        <v>3650.0227125000001</v>
      </c>
      <c r="R10" s="74">
        <f t="shared" si="0"/>
        <v>3188.9516062500002</v>
      </c>
      <c r="S10" s="74">
        <f t="shared" si="0"/>
        <v>2788.6647937500002</v>
      </c>
      <c r="U10" s="74">
        <f>SUM(U8:U9)*-1</f>
        <v>-36746.081024999999</v>
      </c>
    </row>
    <row r="13" spans="1:21" ht="23.25" customHeight="1" x14ac:dyDescent="0.45">
      <c r="B13" s="66"/>
      <c r="C13" s="67" t="s">
        <v>45</v>
      </c>
      <c r="E13" s="107" t="s">
        <v>46</v>
      </c>
      <c r="F13" s="107"/>
      <c r="G13" s="67">
        <f>'[1]Rateio UFV - Faturamento (R$)'!G89</f>
        <v>0</v>
      </c>
      <c r="H13" s="67">
        <v>1732</v>
      </c>
      <c r="I13" s="67">
        <v>1709</v>
      </c>
      <c r="J13" s="67">
        <v>2163</v>
      </c>
      <c r="K13" s="67">
        <v>2217</v>
      </c>
      <c r="L13" s="67">
        <v>1812</v>
      </c>
      <c r="M13" s="67">
        <v>1660</v>
      </c>
      <c r="N13" s="67"/>
      <c r="O13" s="67"/>
      <c r="P13" s="67"/>
      <c r="Q13" s="67"/>
      <c r="R13" s="67"/>
      <c r="S13" s="67"/>
    </row>
    <row r="14" spans="1:21" ht="14.25" customHeight="1" x14ac:dyDescent="0.45">
      <c r="B14" s="66"/>
      <c r="C14" s="68"/>
    </row>
    <row r="15" spans="1:21" ht="14.25" customHeight="1" x14ac:dyDescent="0.3">
      <c r="B15" s="108" t="s">
        <v>47</v>
      </c>
      <c r="C15" s="108"/>
      <c r="D15" s="69" t="s">
        <v>48</v>
      </c>
      <c r="E15" s="69" t="s">
        <v>17</v>
      </c>
      <c r="F15" s="69" t="s">
        <v>18</v>
      </c>
      <c r="G15" s="69" t="s">
        <v>49</v>
      </c>
      <c r="H15" s="70">
        <v>46023</v>
      </c>
      <c r="I15" s="70">
        <v>46054</v>
      </c>
      <c r="J15" s="70">
        <v>46082</v>
      </c>
      <c r="K15" s="70">
        <v>46113</v>
      </c>
      <c r="L15" s="70">
        <v>46143</v>
      </c>
      <c r="M15" s="70">
        <v>46174</v>
      </c>
      <c r="N15" s="70">
        <v>46204</v>
      </c>
      <c r="O15" s="70">
        <v>46235</v>
      </c>
      <c r="P15" s="70">
        <v>46266</v>
      </c>
      <c r="Q15" s="70">
        <v>46296</v>
      </c>
      <c r="R15" s="70">
        <v>46327</v>
      </c>
      <c r="S15" s="70">
        <v>46357</v>
      </c>
      <c r="U15" s="70" t="s">
        <v>10</v>
      </c>
    </row>
    <row r="16" spans="1:21" ht="14.25" customHeight="1" x14ac:dyDescent="0.3">
      <c r="B16" s="21"/>
      <c r="C16" t="s">
        <v>50</v>
      </c>
      <c r="D16" s="34">
        <f>'[1]Rateio UFV - Faturamento (R$)'!H88</f>
        <v>0</v>
      </c>
      <c r="E16" s="34" t="s">
        <v>28</v>
      </c>
      <c r="F16" s="42" t="s">
        <v>29</v>
      </c>
      <c r="G16" s="44" t="e">
        <f>D16*(1+#REF!)</f>
        <v>#REF!</v>
      </c>
      <c r="H16" s="38">
        <v>2499.1799999999998</v>
      </c>
      <c r="I16" s="38">
        <v>2428.4899999999998</v>
      </c>
      <c r="J16" s="38">
        <v>2977.31</v>
      </c>
      <c r="K16" s="80">
        <v>2217</v>
      </c>
      <c r="L16" s="80">
        <v>2675.32</v>
      </c>
      <c r="M16" s="80">
        <v>2542.6799999999998</v>
      </c>
      <c r="N16" s="80">
        <v>0</v>
      </c>
      <c r="O16" s="80">
        <v>0</v>
      </c>
      <c r="P16" s="80">
        <v>0</v>
      </c>
      <c r="Q16" s="80">
        <v>0</v>
      </c>
      <c r="R16" s="80">
        <v>0</v>
      </c>
      <c r="S16" s="80">
        <v>0</v>
      </c>
      <c r="U16" s="40">
        <f>SUM(H16:S16)</f>
        <v>15339.98</v>
      </c>
    </row>
    <row r="17" spans="2:21" ht="14.25" customHeight="1" x14ac:dyDescent="0.3">
      <c r="B17" s="21"/>
      <c r="C17" s="77" t="s">
        <v>52</v>
      </c>
      <c r="D17" s="78"/>
      <c r="E17" s="78"/>
      <c r="F17" s="43"/>
      <c r="G17" s="46"/>
      <c r="H17" s="38">
        <v>0</v>
      </c>
      <c r="I17" s="38">
        <v>0</v>
      </c>
      <c r="J17" s="38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U17" s="40">
        <f>SUM(H17:S17)</f>
        <v>0</v>
      </c>
    </row>
    <row r="18" spans="2:21" ht="14.25" customHeight="1" x14ac:dyDescent="0.3">
      <c r="B18" s="106" t="s">
        <v>30</v>
      </c>
      <c r="C18" s="106"/>
      <c r="D18" s="72"/>
      <c r="E18" s="72"/>
      <c r="F18" s="73"/>
      <c r="G18" s="73"/>
      <c r="H18" s="74">
        <f t="shared" ref="H18:S18" si="1">SUM(H16)</f>
        <v>2499.1799999999998</v>
      </c>
      <c r="I18" s="74">
        <f t="shared" si="1"/>
        <v>2428.4899999999998</v>
      </c>
      <c r="J18" s="74">
        <f t="shared" si="1"/>
        <v>2977.31</v>
      </c>
      <c r="K18" s="74">
        <f t="shared" si="1"/>
        <v>2217</v>
      </c>
      <c r="L18" s="74">
        <f t="shared" si="1"/>
        <v>2675.32</v>
      </c>
      <c r="M18" s="74">
        <f t="shared" si="1"/>
        <v>2542.6799999999998</v>
      </c>
      <c r="N18" s="74">
        <f t="shared" si="1"/>
        <v>0</v>
      </c>
      <c r="O18" s="74">
        <f t="shared" si="1"/>
        <v>0</v>
      </c>
      <c r="P18" s="74">
        <f t="shared" si="1"/>
        <v>0</v>
      </c>
      <c r="Q18" s="74">
        <f t="shared" si="1"/>
        <v>0</v>
      </c>
      <c r="R18" s="74">
        <f t="shared" si="1"/>
        <v>0</v>
      </c>
      <c r="S18" s="74">
        <f t="shared" si="1"/>
        <v>0</v>
      </c>
      <c r="U18" s="74">
        <f>SUM(U16:U17)*-1</f>
        <v>-15339.98</v>
      </c>
    </row>
    <row r="20" spans="2:21" ht="17.25" customHeight="1" x14ac:dyDescent="0.3">
      <c r="B20" s="99" t="s">
        <v>34</v>
      </c>
      <c r="C20" s="99"/>
      <c r="H20" s="52">
        <f t="shared" ref="H20:S20" si="2">H18/H10</f>
        <v>0.9289380148585924</v>
      </c>
      <c r="I20" s="52">
        <f t="shared" si="2"/>
        <v>0.66778445748304582</v>
      </c>
      <c r="J20" s="52">
        <f t="shared" si="2"/>
        <v>1.0761329032141469</v>
      </c>
      <c r="K20" s="52">
        <f t="shared" si="2"/>
        <v>0.62075664155138011</v>
      </c>
      <c r="L20" s="52">
        <f t="shared" si="2"/>
        <v>0.69299043139367988</v>
      </c>
      <c r="M20" s="52">
        <f t="shared" si="2"/>
        <v>0.78385705420135776</v>
      </c>
      <c r="N20" s="52">
        <f t="shared" si="2"/>
        <v>0</v>
      </c>
      <c r="O20" s="52">
        <f t="shared" si="2"/>
        <v>0</v>
      </c>
      <c r="P20" s="52">
        <f t="shared" si="2"/>
        <v>0</v>
      </c>
      <c r="Q20" s="52">
        <f t="shared" si="2"/>
        <v>0</v>
      </c>
      <c r="R20" s="52">
        <f t="shared" si="2"/>
        <v>0</v>
      </c>
      <c r="S20" s="52">
        <f t="shared" si="2"/>
        <v>0</v>
      </c>
      <c r="U20" s="52">
        <f>U18/U10</f>
        <v>0.41745893907879661</v>
      </c>
    </row>
  </sheetData>
  <mergeCells count="7">
    <mergeCell ref="B18:C18"/>
    <mergeCell ref="B20:C20"/>
    <mergeCell ref="E5:F5"/>
    <mergeCell ref="B7:C7"/>
    <mergeCell ref="B10:C10"/>
    <mergeCell ref="E13:F13"/>
    <mergeCell ref="B15:C1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U18"/>
  <sheetViews>
    <sheetView showGridLines="0" zoomScaleNormal="100" workbookViewId="0">
      <selection activeCell="J21" sqref="J21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53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23.4" x14ac:dyDescent="0.45">
      <c r="A5" s="21"/>
      <c r="B5" s="66"/>
      <c r="C5" s="67" t="s">
        <v>45</v>
      </c>
      <c r="E5" s="107" t="s">
        <v>46</v>
      </c>
      <c r="F5" s="107"/>
      <c r="G5" s="67">
        <f>'[1]Rateio UFV - Faturamento (R$)'!G82</f>
        <v>-1469.9317635072</v>
      </c>
      <c r="H5" s="67">
        <v>637</v>
      </c>
      <c r="I5" s="67">
        <v>753</v>
      </c>
      <c r="J5" s="67">
        <v>655</v>
      </c>
      <c r="K5" s="67">
        <v>634</v>
      </c>
      <c r="L5" s="67">
        <v>586</v>
      </c>
      <c r="M5" s="67">
        <v>441</v>
      </c>
      <c r="N5" s="67">
        <v>376</v>
      </c>
      <c r="O5" s="67">
        <v>395</v>
      </c>
      <c r="P5" s="67">
        <v>402</v>
      </c>
      <c r="Q5" s="67">
        <v>467</v>
      </c>
      <c r="R5" s="67">
        <v>547</v>
      </c>
      <c r="S5" s="67">
        <v>585</v>
      </c>
    </row>
    <row r="6" spans="1:21" ht="12" customHeight="1" x14ac:dyDescent="0.45">
      <c r="A6" s="21"/>
      <c r="B6" s="66"/>
      <c r="C6" s="68"/>
    </row>
    <row r="7" spans="1:21" ht="14.25" customHeight="1" x14ac:dyDescent="0.3">
      <c r="A7" s="21"/>
      <c r="B7" s="108" t="s">
        <v>47</v>
      </c>
      <c r="C7" s="108"/>
      <c r="D7" s="69" t="s">
        <v>48</v>
      </c>
      <c r="E7" s="69" t="s">
        <v>17</v>
      </c>
      <c r="F7" s="69" t="s">
        <v>18</v>
      </c>
      <c r="G7" s="69" t="s">
        <v>49</v>
      </c>
      <c r="H7" s="70">
        <v>46023</v>
      </c>
      <c r="I7" s="70">
        <v>46054</v>
      </c>
      <c r="J7" s="70">
        <v>46082</v>
      </c>
      <c r="K7" s="70">
        <v>46113</v>
      </c>
      <c r="L7" s="70">
        <v>46143</v>
      </c>
      <c r="M7" s="70">
        <v>46174</v>
      </c>
      <c r="N7" s="70">
        <v>46204</v>
      </c>
      <c r="O7" s="70">
        <v>46235</v>
      </c>
      <c r="P7" s="70">
        <v>46266</v>
      </c>
      <c r="Q7" s="70">
        <v>46296</v>
      </c>
      <c r="R7" s="70">
        <v>46327</v>
      </c>
      <c r="S7" s="70">
        <v>46357</v>
      </c>
      <c r="U7" s="70" t="s">
        <v>10</v>
      </c>
    </row>
    <row r="8" spans="1:21" ht="14.25" customHeight="1" x14ac:dyDescent="0.3">
      <c r="A8" s="21"/>
      <c r="B8" s="21"/>
      <c r="C8" t="s">
        <v>50</v>
      </c>
      <c r="D8" s="34">
        <f>'[1]Rateio UFV - Faturamento (R$)'!H81</f>
        <v>7646.94</v>
      </c>
      <c r="E8" s="34" t="s">
        <v>28</v>
      </c>
      <c r="F8" s="42" t="s">
        <v>29</v>
      </c>
      <c r="G8" s="44" t="e">
        <f>D8*(1+#REF!)</f>
        <v>#REF!</v>
      </c>
      <c r="H8" s="45">
        <v>751.66</v>
      </c>
      <c r="I8" s="45">
        <v>888.54</v>
      </c>
      <c r="J8" s="45">
        <v>772.9</v>
      </c>
      <c r="K8" s="71">
        <v>799.36622</v>
      </c>
      <c r="L8" s="71">
        <v>738.84637999999995</v>
      </c>
      <c r="M8" s="71">
        <v>556.02602999999999</v>
      </c>
      <c r="N8" s="71">
        <v>474.07208000000003</v>
      </c>
      <c r="O8" s="71">
        <v>498.02785</v>
      </c>
      <c r="P8" s="71">
        <v>506.85365999999999</v>
      </c>
      <c r="Q8" s="71">
        <v>588.80760999999995</v>
      </c>
      <c r="R8" s="71">
        <v>689.67400999999995</v>
      </c>
      <c r="S8" s="71">
        <v>737.58555000000001</v>
      </c>
      <c r="U8" s="40">
        <f>SUM(H8:S8)</f>
        <v>8002.3593899999996</v>
      </c>
    </row>
    <row r="9" spans="1:21" ht="14.25" customHeight="1" x14ac:dyDescent="0.3">
      <c r="B9" s="106" t="s">
        <v>30</v>
      </c>
      <c r="C9" s="106"/>
      <c r="D9" s="72"/>
      <c r="E9" s="72"/>
      <c r="F9" s="73"/>
      <c r="G9" s="73"/>
      <c r="H9" s="74">
        <f t="shared" ref="H9:S9" si="0">SUM(H8)</f>
        <v>751.66</v>
      </c>
      <c r="I9" s="74">
        <f t="shared" si="0"/>
        <v>888.54</v>
      </c>
      <c r="J9" s="74">
        <f t="shared" si="0"/>
        <v>772.9</v>
      </c>
      <c r="K9" s="74">
        <f t="shared" si="0"/>
        <v>799.36622</v>
      </c>
      <c r="L9" s="74">
        <f t="shared" si="0"/>
        <v>738.84637999999995</v>
      </c>
      <c r="M9" s="74">
        <f t="shared" si="0"/>
        <v>556.02602999999999</v>
      </c>
      <c r="N9" s="74">
        <f t="shared" si="0"/>
        <v>474.07208000000003</v>
      </c>
      <c r="O9" s="74">
        <f t="shared" si="0"/>
        <v>498.02785</v>
      </c>
      <c r="P9" s="74">
        <f t="shared" si="0"/>
        <v>506.85365999999999</v>
      </c>
      <c r="Q9" s="74">
        <f t="shared" si="0"/>
        <v>588.80760999999995</v>
      </c>
      <c r="R9" s="74">
        <f t="shared" si="0"/>
        <v>689.67400999999995</v>
      </c>
      <c r="S9" s="74">
        <f t="shared" si="0"/>
        <v>737.58555000000001</v>
      </c>
      <c r="U9" s="74">
        <f>SUM(U8)*-1</f>
        <v>-8002.3593899999996</v>
      </c>
    </row>
    <row r="12" spans="1:21" ht="23.25" customHeight="1" x14ac:dyDescent="0.45">
      <c r="B12" s="66"/>
      <c r="C12" s="67" t="s">
        <v>45</v>
      </c>
      <c r="E12" s="107" t="s">
        <v>46</v>
      </c>
      <c r="F12" s="107"/>
      <c r="G12" s="67">
        <f>'[1]Rateio UFV - Faturamento (R$)'!G89</f>
        <v>0</v>
      </c>
      <c r="H12" s="67">
        <v>712</v>
      </c>
      <c r="I12" s="67">
        <v>600</v>
      </c>
      <c r="J12" s="67">
        <v>712</v>
      </c>
      <c r="K12" s="67">
        <v>670</v>
      </c>
      <c r="L12" s="67">
        <v>611</v>
      </c>
      <c r="M12" s="67">
        <v>523</v>
      </c>
      <c r="N12" s="67"/>
      <c r="O12" s="67"/>
      <c r="P12" s="67"/>
      <c r="Q12" s="67"/>
      <c r="R12" s="67"/>
      <c r="S12" s="67"/>
    </row>
    <row r="13" spans="1:21" ht="14.25" customHeight="1" x14ac:dyDescent="0.45">
      <c r="B13" s="66"/>
      <c r="C13" s="68"/>
    </row>
    <row r="14" spans="1:21" ht="14.25" customHeight="1" x14ac:dyDescent="0.3">
      <c r="B14" s="108" t="s">
        <v>47</v>
      </c>
      <c r="C14" s="108"/>
      <c r="D14" s="69" t="s">
        <v>48</v>
      </c>
      <c r="E14" s="69" t="s">
        <v>17</v>
      </c>
      <c r="F14" s="69" t="s">
        <v>18</v>
      </c>
      <c r="G14" s="69" t="s">
        <v>49</v>
      </c>
      <c r="H14" s="70">
        <v>46023</v>
      </c>
      <c r="I14" s="70">
        <v>46054</v>
      </c>
      <c r="J14" s="70">
        <v>46082</v>
      </c>
      <c r="K14" s="70">
        <v>46113</v>
      </c>
      <c r="L14" s="70">
        <v>46143</v>
      </c>
      <c r="M14" s="70">
        <v>46174</v>
      </c>
      <c r="N14" s="70">
        <v>46204</v>
      </c>
      <c r="O14" s="70">
        <v>46235</v>
      </c>
      <c r="P14" s="70">
        <v>46266</v>
      </c>
      <c r="Q14" s="70">
        <v>46296</v>
      </c>
      <c r="R14" s="70">
        <v>46327</v>
      </c>
      <c r="S14" s="70">
        <v>46357</v>
      </c>
      <c r="U14" s="70" t="s">
        <v>10</v>
      </c>
    </row>
    <row r="15" spans="1:21" ht="14.25" customHeight="1" x14ac:dyDescent="0.3">
      <c r="B15" s="21"/>
      <c r="C15" t="s">
        <v>50</v>
      </c>
      <c r="D15" s="34">
        <f>'[1]Rateio UFV - Faturamento (R$)'!H88</f>
        <v>0</v>
      </c>
      <c r="E15" s="34" t="s">
        <v>28</v>
      </c>
      <c r="F15" s="42" t="s">
        <v>29</v>
      </c>
      <c r="G15" s="44" t="e">
        <f>D15*(1+#REF!)</f>
        <v>#REF!</v>
      </c>
      <c r="H15" s="38">
        <v>920.84</v>
      </c>
      <c r="I15" s="38">
        <v>750.89</v>
      </c>
      <c r="J15" s="38">
        <v>901.77</v>
      </c>
      <c r="K15" s="80">
        <v>861.12</v>
      </c>
      <c r="L15" s="80">
        <v>805.42</v>
      </c>
      <c r="M15" s="80">
        <v>715.8</v>
      </c>
      <c r="N15" s="80"/>
      <c r="O15" s="80"/>
      <c r="P15" s="80"/>
      <c r="Q15" s="80"/>
      <c r="R15" s="80"/>
      <c r="S15" s="80"/>
      <c r="U15" s="40">
        <f>SUM(H15:S15)</f>
        <v>4955.84</v>
      </c>
    </row>
    <row r="16" spans="1:21" ht="14.25" customHeight="1" x14ac:dyDescent="0.3">
      <c r="B16" s="106" t="s">
        <v>30</v>
      </c>
      <c r="C16" s="106"/>
      <c r="D16" s="72"/>
      <c r="E16" s="72"/>
      <c r="F16" s="73"/>
      <c r="G16" s="73"/>
      <c r="H16" s="74">
        <f t="shared" ref="H16:S16" si="1">SUM(H15)</f>
        <v>920.84</v>
      </c>
      <c r="I16" s="74">
        <f t="shared" si="1"/>
        <v>750.89</v>
      </c>
      <c r="J16" s="74">
        <f t="shared" si="1"/>
        <v>901.77</v>
      </c>
      <c r="K16" s="74">
        <f t="shared" si="1"/>
        <v>861.12</v>
      </c>
      <c r="L16" s="74">
        <f t="shared" si="1"/>
        <v>805.42</v>
      </c>
      <c r="M16" s="74">
        <f t="shared" si="1"/>
        <v>715.8</v>
      </c>
      <c r="N16" s="74">
        <f t="shared" si="1"/>
        <v>0</v>
      </c>
      <c r="O16" s="74">
        <f t="shared" si="1"/>
        <v>0</v>
      </c>
      <c r="P16" s="74">
        <f t="shared" si="1"/>
        <v>0</v>
      </c>
      <c r="Q16" s="74">
        <f t="shared" si="1"/>
        <v>0</v>
      </c>
      <c r="R16" s="74">
        <f t="shared" si="1"/>
        <v>0</v>
      </c>
      <c r="S16" s="74">
        <f t="shared" si="1"/>
        <v>0</v>
      </c>
      <c r="U16" s="74">
        <f>SUM(U15)*-1</f>
        <v>-4955.84</v>
      </c>
    </row>
    <row r="18" spans="2:21" ht="14.4" x14ac:dyDescent="0.3">
      <c r="B18" s="99" t="s">
        <v>34</v>
      </c>
      <c r="C18" s="99"/>
      <c r="H18" s="52">
        <f t="shared" ref="H18:S18" si="2">H16/H9</f>
        <v>1.2250751669637869</v>
      </c>
      <c r="I18" s="52">
        <f t="shared" si="2"/>
        <v>0.84508294505593451</v>
      </c>
      <c r="J18" s="52">
        <f t="shared" si="2"/>
        <v>1.1667356708500454</v>
      </c>
      <c r="K18" s="52">
        <f t="shared" si="2"/>
        <v>1.0772534270962815</v>
      </c>
      <c r="L18" s="52">
        <f t="shared" si="2"/>
        <v>1.0901048198950369</v>
      </c>
      <c r="M18" s="52">
        <f t="shared" si="2"/>
        <v>1.2873498026702095</v>
      </c>
      <c r="N18" s="52">
        <f t="shared" si="2"/>
        <v>0</v>
      </c>
      <c r="O18" s="52">
        <f t="shared" si="2"/>
        <v>0</v>
      </c>
      <c r="P18" s="52">
        <f t="shared" si="2"/>
        <v>0</v>
      </c>
      <c r="Q18" s="52">
        <f t="shared" si="2"/>
        <v>0</v>
      </c>
      <c r="R18" s="52">
        <f t="shared" si="2"/>
        <v>0</v>
      </c>
      <c r="S18" s="52">
        <f t="shared" si="2"/>
        <v>0</v>
      </c>
      <c r="U18" s="52">
        <f>U16/U9</f>
        <v>0.61929735450184531</v>
      </c>
    </row>
  </sheetData>
  <mergeCells count="7">
    <mergeCell ref="B16:C16"/>
    <mergeCell ref="B18:C18"/>
    <mergeCell ref="E5:F5"/>
    <mergeCell ref="B7:C7"/>
    <mergeCell ref="B9:C9"/>
    <mergeCell ref="E12:F12"/>
    <mergeCell ref="B14:C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U18"/>
  <sheetViews>
    <sheetView showGridLines="0" zoomScaleNormal="100" workbookViewId="0">
      <selection activeCell="K16" sqref="K16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54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23.4" x14ac:dyDescent="0.45">
      <c r="A5" s="21"/>
      <c r="B5" s="66"/>
      <c r="C5" s="67" t="s">
        <v>45</v>
      </c>
      <c r="E5" s="107" t="s">
        <v>46</v>
      </c>
      <c r="F5" s="107"/>
      <c r="G5" s="67">
        <f>'[1]Rateio UFV - Faturamento (R$)'!G82</f>
        <v>-1469.9317635072</v>
      </c>
      <c r="H5" s="67">
        <v>426</v>
      </c>
      <c r="I5" s="67">
        <v>478</v>
      </c>
      <c r="J5" s="67">
        <v>468</v>
      </c>
      <c r="K5" s="67">
        <v>411</v>
      </c>
      <c r="L5" s="67">
        <v>463</v>
      </c>
      <c r="M5" s="67">
        <v>469</v>
      </c>
      <c r="N5" s="67">
        <v>368</v>
      </c>
      <c r="O5" s="67">
        <v>413</v>
      </c>
      <c r="P5" s="67">
        <v>431</v>
      </c>
      <c r="Q5" s="67">
        <v>500</v>
      </c>
      <c r="R5" s="67">
        <v>541</v>
      </c>
      <c r="S5" s="67">
        <v>494</v>
      </c>
    </row>
    <row r="6" spans="1:21" ht="12" customHeight="1" x14ac:dyDescent="0.45">
      <c r="A6" s="21"/>
      <c r="B6" s="66"/>
      <c r="C6" s="68"/>
    </row>
    <row r="7" spans="1:21" ht="14.25" customHeight="1" x14ac:dyDescent="0.3">
      <c r="A7" s="21"/>
      <c r="B7" s="108" t="s">
        <v>47</v>
      </c>
      <c r="C7" s="108"/>
      <c r="D7" s="69" t="s">
        <v>48</v>
      </c>
      <c r="E7" s="69" t="s">
        <v>17</v>
      </c>
      <c r="F7" s="69" t="s">
        <v>18</v>
      </c>
      <c r="G7" s="69" t="s">
        <v>49</v>
      </c>
      <c r="H7" s="70">
        <v>46023</v>
      </c>
      <c r="I7" s="70">
        <v>46054</v>
      </c>
      <c r="J7" s="70">
        <v>46082</v>
      </c>
      <c r="K7" s="70">
        <v>46113</v>
      </c>
      <c r="L7" s="70">
        <v>46143</v>
      </c>
      <c r="M7" s="70">
        <v>46174</v>
      </c>
      <c r="N7" s="70">
        <v>46204</v>
      </c>
      <c r="O7" s="70">
        <v>46235</v>
      </c>
      <c r="P7" s="70">
        <v>46266</v>
      </c>
      <c r="Q7" s="70">
        <v>46296</v>
      </c>
      <c r="R7" s="70">
        <v>46327</v>
      </c>
      <c r="S7" s="70">
        <v>46357</v>
      </c>
      <c r="U7" s="70" t="s">
        <v>10</v>
      </c>
    </row>
    <row r="8" spans="1:21" ht="14.25" customHeight="1" x14ac:dyDescent="0.3">
      <c r="A8" s="21"/>
      <c r="B8" s="21"/>
      <c r="C8" t="s">
        <v>50</v>
      </c>
      <c r="D8" s="34"/>
      <c r="E8" s="34"/>
      <c r="F8" s="42"/>
      <c r="G8" s="44"/>
      <c r="H8" s="38">
        <v>532.5</v>
      </c>
      <c r="I8" s="38">
        <v>597.5</v>
      </c>
      <c r="J8" s="38">
        <v>585</v>
      </c>
      <c r="K8" s="79">
        <v>548.94187499999998</v>
      </c>
      <c r="L8" s="79">
        <v>618.39437499999997</v>
      </c>
      <c r="M8" s="79">
        <v>626.40812500000004</v>
      </c>
      <c r="N8" s="79">
        <v>491.51</v>
      </c>
      <c r="O8" s="79">
        <v>551.61312499999997</v>
      </c>
      <c r="P8" s="79">
        <v>575.65437499999996</v>
      </c>
      <c r="Q8" s="79">
        <v>667.8125</v>
      </c>
      <c r="R8" s="79">
        <v>722.573125</v>
      </c>
      <c r="S8" s="79">
        <v>659.79875000000004</v>
      </c>
      <c r="U8" s="40">
        <f>SUM(H8:S8)</f>
        <v>7177.7062499999993</v>
      </c>
    </row>
    <row r="9" spans="1:21" ht="14.25" customHeight="1" x14ac:dyDescent="0.3">
      <c r="B9" s="106" t="s">
        <v>30</v>
      </c>
      <c r="C9" s="106"/>
      <c r="D9" s="72"/>
      <c r="E9" s="72"/>
      <c r="F9" s="73"/>
      <c r="G9" s="73"/>
      <c r="H9" s="74">
        <f t="shared" ref="H9:S9" si="0">SUM(H8)</f>
        <v>532.5</v>
      </c>
      <c r="I9" s="74">
        <f t="shared" si="0"/>
        <v>597.5</v>
      </c>
      <c r="J9" s="74">
        <f t="shared" si="0"/>
        <v>585</v>
      </c>
      <c r="K9" s="74">
        <f t="shared" si="0"/>
        <v>548.94187499999998</v>
      </c>
      <c r="L9" s="74">
        <f t="shared" si="0"/>
        <v>618.39437499999997</v>
      </c>
      <c r="M9" s="74">
        <f t="shared" si="0"/>
        <v>626.40812500000004</v>
      </c>
      <c r="N9" s="74">
        <f t="shared" si="0"/>
        <v>491.51</v>
      </c>
      <c r="O9" s="74">
        <f t="shared" si="0"/>
        <v>551.61312499999997</v>
      </c>
      <c r="P9" s="74">
        <f t="shared" si="0"/>
        <v>575.65437499999996</v>
      </c>
      <c r="Q9" s="74">
        <f t="shared" si="0"/>
        <v>667.8125</v>
      </c>
      <c r="R9" s="74">
        <f t="shared" si="0"/>
        <v>722.573125</v>
      </c>
      <c r="S9" s="74">
        <f t="shared" si="0"/>
        <v>659.79875000000004</v>
      </c>
      <c r="U9" s="74">
        <f>SUM(U8)*-1</f>
        <v>-7177.7062499999993</v>
      </c>
    </row>
    <row r="12" spans="1:21" ht="23.25" customHeight="1" x14ac:dyDescent="0.45">
      <c r="B12" s="66"/>
      <c r="C12" s="67" t="s">
        <v>45</v>
      </c>
      <c r="E12" s="107" t="s">
        <v>46</v>
      </c>
      <c r="F12" s="107"/>
      <c r="G12" s="67">
        <f>'[1]Rateio UFV - Faturamento (R$)'!G89</f>
        <v>0</v>
      </c>
      <c r="H12" s="67">
        <v>386</v>
      </c>
      <c r="I12" s="67">
        <v>434</v>
      </c>
      <c r="J12" s="67">
        <v>452</v>
      </c>
      <c r="K12" s="67">
        <v>452</v>
      </c>
      <c r="L12" s="67">
        <v>199</v>
      </c>
      <c r="M12" s="67"/>
      <c r="N12" s="67"/>
      <c r="O12" s="67"/>
      <c r="P12" s="67"/>
      <c r="Q12" s="67"/>
      <c r="R12" s="67"/>
      <c r="S12" s="67"/>
    </row>
    <row r="13" spans="1:21" ht="14.25" customHeight="1" x14ac:dyDescent="0.45">
      <c r="B13" s="66"/>
      <c r="C13" s="68"/>
    </row>
    <row r="14" spans="1:21" ht="14.25" customHeight="1" x14ac:dyDescent="0.3">
      <c r="B14" s="108" t="s">
        <v>47</v>
      </c>
      <c r="C14" s="108"/>
      <c r="D14" s="69" t="s">
        <v>48</v>
      </c>
      <c r="E14" s="69" t="s">
        <v>17</v>
      </c>
      <c r="F14" s="69" t="s">
        <v>18</v>
      </c>
      <c r="G14" s="69" t="s">
        <v>49</v>
      </c>
      <c r="H14" s="70">
        <v>46023</v>
      </c>
      <c r="I14" s="70">
        <v>46054</v>
      </c>
      <c r="J14" s="70">
        <v>46082</v>
      </c>
      <c r="K14" s="70">
        <v>46113</v>
      </c>
      <c r="L14" s="70">
        <v>46143</v>
      </c>
      <c r="M14" s="70">
        <v>46174</v>
      </c>
      <c r="N14" s="70">
        <v>46204</v>
      </c>
      <c r="O14" s="70">
        <v>46235</v>
      </c>
      <c r="P14" s="70">
        <v>46266</v>
      </c>
      <c r="Q14" s="70">
        <v>46296</v>
      </c>
      <c r="R14" s="70">
        <v>46327</v>
      </c>
      <c r="S14" s="70">
        <v>46357</v>
      </c>
      <c r="U14" s="70" t="s">
        <v>10</v>
      </c>
    </row>
    <row r="15" spans="1:21" ht="14.25" customHeight="1" x14ac:dyDescent="0.3">
      <c r="B15" s="21"/>
      <c r="C15" t="s">
        <v>50</v>
      </c>
      <c r="D15" s="34">
        <f>'[1]Rateio UFV - Faturamento (R$)'!H88</f>
        <v>0</v>
      </c>
      <c r="E15" s="34" t="s">
        <v>28</v>
      </c>
      <c r="F15" s="42" t="s">
        <v>29</v>
      </c>
      <c r="G15" s="44" t="e">
        <f>D15*(1+#REF!)</f>
        <v>#REF!</v>
      </c>
      <c r="H15" s="38">
        <v>545.54</v>
      </c>
      <c r="I15" s="38">
        <v>590.58000000000004</v>
      </c>
      <c r="J15" s="38">
        <v>733.95</v>
      </c>
      <c r="K15" s="80">
        <v>738.22</v>
      </c>
      <c r="L15" s="80"/>
      <c r="M15" s="80">
        <v>279.81</v>
      </c>
      <c r="N15" s="80"/>
      <c r="O15" s="80"/>
      <c r="P15" s="80"/>
      <c r="Q15" s="80"/>
      <c r="R15" s="80"/>
      <c r="S15" s="80"/>
      <c r="U15" s="40">
        <f>SUM(H15:S15)</f>
        <v>2888.1</v>
      </c>
    </row>
    <row r="16" spans="1:21" ht="14.25" customHeight="1" x14ac:dyDescent="0.3">
      <c r="B16" s="106" t="s">
        <v>30</v>
      </c>
      <c r="C16" s="106"/>
      <c r="D16" s="72"/>
      <c r="E16" s="72"/>
      <c r="F16" s="73"/>
      <c r="G16" s="73"/>
      <c r="H16" s="74">
        <f>SUM(H15)</f>
        <v>545.54</v>
      </c>
      <c r="I16" s="74">
        <f>SUM(I15)</f>
        <v>590.58000000000004</v>
      </c>
      <c r="J16" s="74">
        <f>SUM(J15)</f>
        <v>733.95</v>
      </c>
      <c r="K16" s="74">
        <f>SUM(K15)</f>
        <v>738.22</v>
      </c>
      <c r="L16" s="74">
        <f>SUM(M15)</f>
        <v>279.81</v>
      </c>
      <c r="M16" s="74">
        <f t="shared" ref="M16:S16" si="1">SUM(M15)</f>
        <v>279.81</v>
      </c>
      <c r="N16" s="74">
        <f t="shared" si="1"/>
        <v>0</v>
      </c>
      <c r="O16" s="74">
        <f t="shared" si="1"/>
        <v>0</v>
      </c>
      <c r="P16" s="74">
        <f t="shared" si="1"/>
        <v>0</v>
      </c>
      <c r="Q16" s="74">
        <f t="shared" si="1"/>
        <v>0</v>
      </c>
      <c r="R16" s="74">
        <f t="shared" si="1"/>
        <v>0</v>
      </c>
      <c r="S16" s="74">
        <f t="shared" si="1"/>
        <v>0</v>
      </c>
      <c r="U16" s="74">
        <f>SUM(U15)*-1</f>
        <v>-2888.1</v>
      </c>
    </row>
    <row r="18" spans="2:21" ht="14.4" x14ac:dyDescent="0.3">
      <c r="B18" s="99" t="s">
        <v>34</v>
      </c>
      <c r="C18" s="99"/>
      <c r="H18" s="52">
        <f t="shared" ref="H18:S18" si="2">H16/H9</f>
        <v>1.0244882629107981</v>
      </c>
      <c r="I18" s="52">
        <f t="shared" si="2"/>
        <v>0.98841841004184106</v>
      </c>
      <c r="J18" s="52">
        <f t="shared" si="2"/>
        <v>1.2546153846153847</v>
      </c>
      <c r="K18" s="52">
        <f t="shared" si="2"/>
        <v>1.3448054040329862</v>
      </c>
      <c r="L18" s="52">
        <f t="shared" si="2"/>
        <v>0.45247824254546304</v>
      </c>
      <c r="M18" s="52">
        <f t="shared" si="2"/>
        <v>0.44668960831247195</v>
      </c>
      <c r="N18" s="52">
        <f t="shared" si="2"/>
        <v>0</v>
      </c>
      <c r="O18" s="52">
        <f t="shared" si="2"/>
        <v>0</v>
      </c>
      <c r="P18" s="52">
        <f t="shared" si="2"/>
        <v>0</v>
      </c>
      <c r="Q18" s="52">
        <f t="shared" si="2"/>
        <v>0</v>
      </c>
      <c r="R18" s="52">
        <f t="shared" si="2"/>
        <v>0</v>
      </c>
      <c r="S18" s="52">
        <f t="shared" si="2"/>
        <v>0</v>
      </c>
      <c r="U18" s="52">
        <f>U16/U9</f>
        <v>0.40237088275937738</v>
      </c>
    </row>
  </sheetData>
  <mergeCells count="7">
    <mergeCell ref="B16:C16"/>
    <mergeCell ref="B18:C18"/>
    <mergeCell ref="E5:F5"/>
    <mergeCell ref="B7:C7"/>
    <mergeCell ref="B9:C9"/>
    <mergeCell ref="E12:F12"/>
    <mergeCell ref="B14:C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U23"/>
  <sheetViews>
    <sheetView showGridLines="0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55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4019</v>
      </c>
      <c r="I7" s="67">
        <v>4624</v>
      </c>
      <c r="J7" s="67">
        <v>4252</v>
      </c>
      <c r="K7" s="67">
        <v>4688</v>
      </c>
      <c r="L7" s="67">
        <v>3443</v>
      </c>
      <c r="M7" s="67">
        <v>4205.2</v>
      </c>
      <c r="N7" s="67">
        <v>5130.33</v>
      </c>
      <c r="O7" s="67">
        <v>4337.3614285714302</v>
      </c>
      <c r="P7" s="67">
        <v>4337.3614285714302</v>
      </c>
      <c r="Q7" s="67">
        <v>4337.3614285714302</v>
      </c>
      <c r="R7" s="67">
        <v>4337.3614285714302</v>
      </c>
      <c r="S7" s="67">
        <v>4337.3614285714302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t="s">
        <v>50</v>
      </c>
      <c r="D10" s="34"/>
      <c r="E10" s="34"/>
      <c r="F10" s="42"/>
      <c r="G10" s="44"/>
      <c r="H10" s="38">
        <v>5023.75</v>
      </c>
      <c r="I10" s="38">
        <v>5780</v>
      </c>
      <c r="J10" s="38">
        <v>5315</v>
      </c>
      <c r="K10" s="79">
        <v>6261.41</v>
      </c>
      <c r="L10" s="79">
        <v>4598.5568750000002</v>
      </c>
      <c r="M10" s="79">
        <v>5616.5702499999998</v>
      </c>
      <c r="N10" s="79">
        <v>6852.1970062500004</v>
      </c>
      <c r="O10" s="79">
        <v>5793.0883580357104</v>
      </c>
      <c r="P10" s="79">
        <v>5793.0883580357104</v>
      </c>
      <c r="Q10" s="79">
        <v>5793.0883580357104</v>
      </c>
      <c r="R10" s="79">
        <v>5793.0883580357104</v>
      </c>
      <c r="S10" s="79">
        <v>5793.0883580357104</v>
      </c>
      <c r="U10" s="40">
        <f>SUM(H10:S10)</f>
        <v>68412.925921428556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0</v>
      </c>
      <c r="I11" s="38">
        <v>0</v>
      </c>
      <c r="J11" s="38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U11" s="40">
        <f>SUM(H11:S11)</f>
        <v>0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SUM(H10)</f>
        <v>5023.75</v>
      </c>
      <c r="I12" s="74">
        <f t="shared" si="0"/>
        <v>5780</v>
      </c>
      <c r="J12" s="74">
        <f t="shared" si="0"/>
        <v>5315</v>
      </c>
      <c r="K12" s="74">
        <f t="shared" si="0"/>
        <v>6261.41</v>
      </c>
      <c r="L12" s="74">
        <f t="shared" si="0"/>
        <v>4598.5568750000002</v>
      </c>
      <c r="M12" s="74">
        <f t="shared" si="0"/>
        <v>5616.5702499999998</v>
      </c>
      <c r="N12" s="74">
        <f t="shared" si="0"/>
        <v>6852.1970062500004</v>
      </c>
      <c r="O12" s="74">
        <f t="shared" si="0"/>
        <v>5793.0883580357104</v>
      </c>
      <c r="P12" s="74">
        <f t="shared" si="0"/>
        <v>5793.0883580357104</v>
      </c>
      <c r="Q12" s="74">
        <f t="shared" si="0"/>
        <v>5793.0883580357104</v>
      </c>
      <c r="R12" s="74">
        <f t="shared" si="0"/>
        <v>5793.0883580357104</v>
      </c>
      <c r="S12" s="74">
        <f t="shared" si="0"/>
        <v>5793.0883580357104</v>
      </c>
      <c r="U12" s="74">
        <f>SUM(U10:U11)*-1</f>
        <v>-68412.925921428556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303.25+18.29+4461.46</f>
        <v>4783</v>
      </c>
      <c r="I16" s="67">
        <v>4269.6360000000004</v>
      </c>
      <c r="J16" s="67">
        <v>4830.78</v>
      </c>
      <c r="K16" s="67">
        <v>4363.2</v>
      </c>
      <c r="L16" s="67">
        <v>3894.828</v>
      </c>
      <c r="M16" s="67"/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3340.02</v>
      </c>
      <c r="I19" s="38">
        <v>4704.3999999999996</v>
      </c>
      <c r="J19" s="38">
        <v>1469.56</v>
      </c>
      <c r="K19" s="38">
        <v>1460.1</v>
      </c>
      <c r="L19" s="80">
        <v>1489.47</v>
      </c>
      <c r="M19" s="80">
        <v>1512.84</v>
      </c>
      <c r="N19" s="80"/>
      <c r="O19" s="80"/>
      <c r="P19" s="80"/>
      <c r="Q19" s="80"/>
      <c r="R19" s="80"/>
      <c r="S19" s="80"/>
      <c r="U19" s="40">
        <f>SUM(I19:S19)</f>
        <v>10636.369999999999</v>
      </c>
    </row>
    <row r="20" spans="2:21" ht="14.25" customHeight="1" x14ac:dyDescent="0.3">
      <c r="B20" s="21"/>
      <c r="C20" s="77" t="s">
        <v>52</v>
      </c>
      <c r="D20" s="78"/>
      <c r="E20" s="78"/>
      <c r="F20" s="43"/>
      <c r="G20" s="46"/>
      <c r="H20" s="38">
        <v>3671.8031980000001</v>
      </c>
      <c r="I20" s="38">
        <v>3671.8031980000001</v>
      </c>
      <c r="J20" s="38">
        <v>3671.8031980000001</v>
      </c>
      <c r="K20" s="38"/>
      <c r="L20" s="82">
        <v>7522.3922060000004</v>
      </c>
      <c r="M20" s="82">
        <v>3850.5890079999999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U20" s="40">
        <f>SUM(I20:S20)</f>
        <v>18716.587609999999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7011.823198</v>
      </c>
      <c r="I21" s="74">
        <f t="shared" si="1"/>
        <v>8376.2031979999992</v>
      </c>
      <c r="J21" s="74">
        <f t="shared" si="1"/>
        <v>5141.363198</v>
      </c>
      <c r="K21" s="74">
        <f t="shared" si="1"/>
        <v>1460.1</v>
      </c>
      <c r="L21" s="74">
        <f t="shared" si="1"/>
        <v>9011.8622059999998</v>
      </c>
      <c r="M21" s="74">
        <f t="shared" si="1"/>
        <v>5363.4290080000001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-29352.957609999998</v>
      </c>
    </row>
    <row r="23" spans="2:21" ht="14.4" x14ac:dyDescent="0.3">
      <c r="B23" s="99" t="s">
        <v>34</v>
      </c>
      <c r="C23" s="99"/>
      <c r="H23" s="52">
        <f t="shared" ref="H23:S23" si="2">H21/H12</f>
        <v>1.3957348988305549</v>
      </c>
      <c r="I23" s="52">
        <f t="shared" si="2"/>
        <v>1.4491701034602076</v>
      </c>
      <c r="J23" s="52">
        <f t="shared" si="2"/>
        <v>0.96733079924741294</v>
      </c>
      <c r="K23" s="52">
        <f t="shared" si="2"/>
        <v>0.23319028781057302</v>
      </c>
      <c r="L23" s="52">
        <f t="shared" si="2"/>
        <v>1.9597152869833754</v>
      </c>
      <c r="M23" s="52">
        <f t="shared" si="2"/>
        <v>0.9549295689838474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0.42905572616074811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U49"/>
  <sheetViews>
    <sheetView showGridLines="0" topLeftCell="A6" zoomScaleNormal="100" workbookViewId="0">
      <selection activeCell="L20" sqref="L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57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4523</v>
      </c>
      <c r="I7" s="67">
        <v>4522.5866666666698</v>
      </c>
      <c r="J7" s="67">
        <v>4522.5866666666698</v>
      </c>
      <c r="K7" s="67">
        <v>4522.5866666666698</v>
      </c>
      <c r="L7" s="67">
        <v>4522.5866666666698</v>
      </c>
      <c r="M7" s="67">
        <v>4975.42</v>
      </c>
      <c r="N7" s="67">
        <v>4083.27</v>
      </c>
      <c r="O7" s="67">
        <v>4509.07</v>
      </c>
      <c r="P7" s="67">
        <v>4522.5866666666698</v>
      </c>
      <c r="Q7" s="67">
        <v>4522.5866666666698</v>
      </c>
      <c r="R7" s="67">
        <v>4522.5866666666698</v>
      </c>
      <c r="S7" s="67">
        <v>4522.5866666666698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t="s">
        <v>50</v>
      </c>
      <c r="D10" s="34"/>
      <c r="E10" s="34"/>
      <c r="F10" s="42"/>
      <c r="G10" s="44"/>
      <c r="H10" s="38">
        <v>5653.75</v>
      </c>
      <c r="I10" s="38">
        <v>5653.2333333333299</v>
      </c>
      <c r="J10" s="38">
        <v>5653.2333333333299</v>
      </c>
      <c r="K10" s="79">
        <v>6040.4798166666696</v>
      </c>
      <c r="L10" s="79">
        <v>6040.4798166666696</v>
      </c>
      <c r="M10" s="79">
        <v>6645.2953374999997</v>
      </c>
      <c r="N10" s="79">
        <v>5453.7174937500004</v>
      </c>
      <c r="O10" s="79">
        <v>6022.4266187499998</v>
      </c>
      <c r="P10" s="79">
        <v>6040.4798166666696</v>
      </c>
      <c r="Q10" s="79">
        <v>6040.4798166666696</v>
      </c>
      <c r="R10" s="79">
        <v>6040.4798166666696</v>
      </c>
      <c r="S10" s="79">
        <v>6040.4798166666696</v>
      </c>
      <c r="U10" s="40">
        <f>SUM(H10:S10)</f>
        <v>71324.53501666669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0</v>
      </c>
      <c r="I11" s="38">
        <v>0</v>
      </c>
      <c r="J11" s="38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U11" s="40">
        <f>SUM(H11:S11)</f>
        <v>0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SUM(H10)</f>
        <v>5653.75</v>
      </c>
      <c r="I12" s="74">
        <f t="shared" si="0"/>
        <v>5653.2333333333299</v>
      </c>
      <c r="J12" s="74">
        <f t="shared" si="0"/>
        <v>5653.2333333333299</v>
      </c>
      <c r="K12" s="74">
        <f t="shared" si="0"/>
        <v>6040.4798166666696</v>
      </c>
      <c r="L12" s="74">
        <f t="shared" si="0"/>
        <v>6040.4798166666696</v>
      </c>
      <c r="M12" s="74">
        <f t="shared" si="0"/>
        <v>6645.2953374999997</v>
      </c>
      <c r="N12" s="74">
        <f t="shared" si="0"/>
        <v>5453.7174937500004</v>
      </c>
      <c r="O12" s="74">
        <f t="shared" si="0"/>
        <v>6022.4266187499998</v>
      </c>
      <c r="P12" s="74">
        <f t="shared" si="0"/>
        <v>6040.4798166666696</v>
      </c>
      <c r="Q12" s="74">
        <f t="shared" si="0"/>
        <v>6040.4798166666696</v>
      </c>
      <c r="R12" s="74">
        <f t="shared" si="0"/>
        <v>6040.4798166666696</v>
      </c>
      <c r="S12" s="74">
        <f t="shared" si="0"/>
        <v>6040.4798166666696</v>
      </c>
      <c r="U12" s="74">
        <f>SUM(U10:U11)*-1</f>
        <v>-71324.53501666669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1199.8+408.75+4765.86</f>
        <v>6374.41</v>
      </c>
      <c r="I16" s="67">
        <v>5717.28</v>
      </c>
      <c r="J16" s="67">
        <f>6053.64+433.64+331.24</f>
        <v>6818.52</v>
      </c>
      <c r="K16" s="67">
        <f>6143.57</f>
        <v>6143.57</v>
      </c>
      <c r="L16" s="67">
        <f>5772.01</f>
        <v>5772.01</v>
      </c>
      <c r="M16" s="67"/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4523.8</v>
      </c>
      <c r="I19" s="38">
        <v>4662.58</v>
      </c>
      <c r="J19" s="38">
        <v>437.03</v>
      </c>
      <c r="K19" s="38">
        <v>3506.06</v>
      </c>
      <c r="L19" s="80">
        <v>1452.88</v>
      </c>
      <c r="M19" s="80">
        <v>1461.62</v>
      </c>
      <c r="N19" s="80"/>
      <c r="O19" s="80"/>
      <c r="P19" s="80"/>
      <c r="Q19" s="80"/>
      <c r="R19" s="80"/>
      <c r="S19" s="80"/>
      <c r="U19" s="40">
        <f>SUM(I19:S19)</f>
        <v>11520.169999999998</v>
      </c>
    </row>
    <row r="20" spans="2:21" ht="14.25" customHeight="1" x14ac:dyDescent="0.3">
      <c r="B20" s="21"/>
      <c r="C20" s="77" t="s">
        <v>52</v>
      </c>
      <c r="D20" s="78"/>
      <c r="E20" s="78"/>
      <c r="F20" s="43"/>
      <c r="G20" s="46"/>
      <c r="H20" s="38">
        <v>3412.225508</v>
      </c>
      <c r="I20" s="38">
        <v>3413.225508</v>
      </c>
      <c r="J20" s="38">
        <v>3413.225508</v>
      </c>
      <c r="K20" s="38"/>
      <c r="L20" s="80">
        <v>6992.6462759999995</v>
      </c>
      <c r="M20" s="80">
        <v>3579.420768</v>
      </c>
      <c r="N20" s="80">
        <v>3579.420768</v>
      </c>
      <c r="O20" s="80"/>
      <c r="P20" s="80"/>
      <c r="Q20" s="80"/>
      <c r="R20" s="80"/>
      <c r="S20" s="80"/>
      <c r="U20" s="40">
        <f>SUM(I20:S20)</f>
        <v>20977.938827999998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7936.0255080000006</v>
      </c>
      <c r="I21" s="74">
        <f t="shared" si="1"/>
        <v>8075.8055079999995</v>
      </c>
      <c r="J21" s="74">
        <f t="shared" si="1"/>
        <v>3850.2555080000002</v>
      </c>
      <c r="K21" s="74">
        <f t="shared" si="1"/>
        <v>3506.06</v>
      </c>
      <c r="L21" s="74">
        <f t="shared" si="1"/>
        <v>8445.5262760000005</v>
      </c>
      <c r="M21" s="74">
        <f t="shared" si="1"/>
        <v>5041.0407679999998</v>
      </c>
      <c r="N21" s="74">
        <f t="shared" si="1"/>
        <v>3579.420768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-32498.108827999997</v>
      </c>
    </row>
    <row r="23" spans="2:21" ht="14.4" x14ac:dyDescent="0.3">
      <c r="B23" s="99" t="s">
        <v>34</v>
      </c>
      <c r="C23" s="99"/>
      <c r="H23" s="52">
        <f t="shared" ref="H23:S23" si="2">H21/H12</f>
        <v>1.4036746421401725</v>
      </c>
      <c r="I23" s="52">
        <f t="shared" si="2"/>
        <v>1.4285286015672454</v>
      </c>
      <c r="J23" s="52">
        <f t="shared" si="2"/>
        <v>0.68107139418739759</v>
      </c>
      <c r="K23" s="52">
        <f t="shared" si="2"/>
        <v>0.58042740087074018</v>
      </c>
      <c r="L23" s="52">
        <f t="shared" si="2"/>
        <v>1.3981548705282343</v>
      </c>
      <c r="M23" s="52">
        <f t="shared" si="2"/>
        <v>0.75858792002109421</v>
      </c>
      <c r="N23" s="52">
        <f t="shared" si="2"/>
        <v>0.6563267664858039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0.45563716357079698</v>
      </c>
    </row>
    <row r="25" spans="2:21" ht="14.25" hidden="1" customHeight="1" x14ac:dyDescent="0.3">
      <c r="B25" s="81" t="s">
        <v>58</v>
      </c>
    </row>
    <row r="26" spans="2:21" ht="14.25" hidden="1" customHeight="1" x14ac:dyDescent="0.3">
      <c r="B26" s="81"/>
    </row>
    <row r="27" spans="2:21" ht="14.25" hidden="1" customHeight="1" x14ac:dyDescent="0.3">
      <c r="B27" s="108" t="s">
        <v>47</v>
      </c>
      <c r="C27" s="108"/>
      <c r="D27" s="69" t="s">
        <v>48</v>
      </c>
      <c r="E27" s="69" t="s">
        <v>17</v>
      </c>
      <c r="F27" s="69" t="s">
        <v>18</v>
      </c>
      <c r="G27" s="69" t="s">
        <v>49</v>
      </c>
      <c r="H27" s="70">
        <v>45931</v>
      </c>
      <c r="I27" s="70">
        <v>45962</v>
      </c>
      <c r="J27" s="70">
        <v>45992</v>
      </c>
      <c r="K27" s="70">
        <v>46023</v>
      </c>
      <c r="L27" s="70">
        <v>46054</v>
      </c>
      <c r="M27" s="70">
        <v>46082</v>
      </c>
      <c r="N27" s="70">
        <v>46113</v>
      </c>
      <c r="O27" s="70">
        <v>46143</v>
      </c>
      <c r="P27" s="70">
        <v>46174</v>
      </c>
      <c r="Q27" s="70">
        <v>46204</v>
      </c>
      <c r="R27" s="70">
        <v>46235</v>
      </c>
      <c r="S27" s="70">
        <v>46266</v>
      </c>
      <c r="U27" s="70" t="s">
        <v>10</v>
      </c>
    </row>
    <row r="28" spans="2:21" ht="14.25" hidden="1" customHeight="1" x14ac:dyDescent="0.3">
      <c r="B28" s="21"/>
      <c r="C28" t="s">
        <v>50</v>
      </c>
      <c r="D28" s="34">
        <f>'[1]Rateio UFV - Faturamento (R$)'!H96</f>
        <v>0</v>
      </c>
      <c r="E28" s="34" t="s">
        <v>28</v>
      </c>
      <c r="F28" s="42" t="s">
        <v>29</v>
      </c>
      <c r="G28" s="44" t="e">
        <f>D28*(1+#REF!)</f>
        <v>#REF!</v>
      </c>
      <c r="H28" s="38">
        <v>0</v>
      </c>
      <c r="I28" s="38">
        <v>4305.57</v>
      </c>
      <c r="J28" s="38">
        <v>4523.8</v>
      </c>
      <c r="K28" s="38">
        <f t="shared" ref="K28:P29" si="3">I19</f>
        <v>4662.58</v>
      </c>
      <c r="L28" s="80">
        <f t="shared" si="3"/>
        <v>437.03</v>
      </c>
      <c r="M28" s="80">
        <f t="shared" si="3"/>
        <v>3506.06</v>
      </c>
      <c r="N28" s="80">
        <f t="shared" si="3"/>
        <v>1452.88</v>
      </c>
      <c r="O28" s="80">
        <f t="shared" si="3"/>
        <v>1461.62</v>
      </c>
      <c r="P28" s="80">
        <f t="shared" si="3"/>
        <v>0</v>
      </c>
      <c r="Q28" s="80" t="e">
        <f>#REF!</f>
        <v>#REF!</v>
      </c>
      <c r="R28" s="80">
        <f>O19</f>
        <v>0</v>
      </c>
      <c r="S28" s="80">
        <f>P19</f>
        <v>0</v>
      </c>
      <c r="U28" s="40" t="e">
        <f>SUM(H28:S28)</f>
        <v>#REF!</v>
      </c>
    </row>
    <row r="29" spans="2:21" ht="14.25" hidden="1" customHeight="1" x14ac:dyDescent="0.3">
      <c r="B29" s="21"/>
      <c r="C29" s="77" t="s">
        <v>52</v>
      </c>
      <c r="D29" s="78"/>
      <c r="E29" s="78"/>
      <c r="F29" s="43"/>
      <c r="G29" s="46"/>
      <c r="H29" s="38">
        <v>0</v>
      </c>
      <c r="I29" s="38">
        <v>3413.23</v>
      </c>
      <c r="J29" s="38">
        <v>3413.23</v>
      </c>
      <c r="K29" s="38">
        <f t="shared" si="3"/>
        <v>3413.225508</v>
      </c>
      <c r="L29" s="80">
        <f t="shared" si="3"/>
        <v>3413.225508</v>
      </c>
      <c r="M29" s="80">
        <f t="shared" si="3"/>
        <v>0</v>
      </c>
      <c r="N29" s="80">
        <f t="shared" si="3"/>
        <v>6992.6462759999995</v>
      </c>
      <c r="O29" s="80">
        <f t="shared" si="3"/>
        <v>3579.420768</v>
      </c>
      <c r="P29" s="80">
        <f t="shared" si="3"/>
        <v>3579.420768</v>
      </c>
      <c r="Q29" s="80" t="e">
        <f>#REF!</f>
        <v>#REF!</v>
      </c>
      <c r="R29" s="80">
        <f>O20</f>
        <v>0</v>
      </c>
      <c r="S29" s="80">
        <f>P20</f>
        <v>0</v>
      </c>
      <c r="U29" s="40" t="e">
        <f>SUM(H29:S29)</f>
        <v>#REF!</v>
      </c>
    </row>
    <row r="30" spans="2:21" ht="14.25" hidden="1" customHeight="1" x14ac:dyDescent="0.3">
      <c r="B30" s="99" t="s">
        <v>30</v>
      </c>
      <c r="C30" s="99"/>
      <c r="H30" s="49">
        <f t="shared" ref="H30:S30" si="4">SUM(H28:H29)</f>
        <v>0</v>
      </c>
      <c r="I30" s="49">
        <f t="shared" si="4"/>
        <v>7718.7999999999993</v>
      </c>
      <c r="J30" s="49">
        <f t="shared" si="4"/>
        <v>7937.0300000000007</v>
      </c>
      <c r="K30" s="49">
        <f t="shared" si="4"/>
        <v>8075.8055079999995</v>
      </c>
      <c r="L30" s="49">
        <f t="shared" si="4"/>
        <v>3850.2555080000002</v>
      </c>
      <c r="M30" s="49">
        <f t="shared" si="4"/>
        <v>3506.06</v>
      </c>
      <c r="N30" s="49">
        <f t="shared" si="4"/>
        <v>8445.5262760000005</v>
      </c>
      <c r="O30" s="49">
        <f t="shared" si="4"/>
        <v>5041.0407679999998</v>
      </c>
      <c r="P30" s="49">
        <f t="shared" si="4"/>
        <v>3579.420768</v>
      </c>
      <c r="Q30" s="49" t="e">
        <f t="shared" si="4"/>
        <v>#REF!</v>
      </c>
      <c r="R30" s="49">
        <f t="shared" si="4"/>
        <v>0</v>
      </c>
      <c r="S30" s="49">
        <f t="shared" si="4"/>
        <v>0</v>
      </c>
      <c r="U30" s="49" t="e">
        <f>SUM(H30:S30)*-1</f>
        <v>#REF!</v>
      </c>
    </row>
    <row r="31" spans="2:21" ht="14.25" hidden="1" customHeight="1" x14ac:dyDescent="0.3"/>
    <row r="32" spans="2:21" ht="14.25" hidden="1" customHeight="1" x14ac:dyDescent="0.3">
      <c r="B32" s="99" t="s">
        <v>34</v>
      </c>
      <c r="C32" s="99"/>
      <c r="H32" s="52">
        <f t="shared" ref="H32:S32" si="5">H30/H12</f>
        <v>0</v>
      </c>
      <c r="I32" s="52">
        <f t="shared" si="5"/>
        <v>1.3653779253170759</v>
      </c>
      <c r="J32" s="52">
        <f t="shared" si="5"/>
        <v>1.4039806128646153</v>
      </c>
      <c r="K32" s="52">
        <f t="shared" si="5"/>
        <v>1.3369476851354645</v>
      </c>
      <c r="L32" s="52">
        <f t="shared" si="5"/>
        <v>0.63740888552868213</v>
      </c>
      <c r="M32" s="52">
        <f t="shared" si="5"/>
        <v>0.52760032804185353</v>
      </c>
      <c r="N32" s="52">
        <f t="shared" si="5"/>
        <v>1.5485815474818112</v>
      </c>
      <c r="O32" s="52">
        <f t="shared" si="5"/>
        <v>0.83704478063799237</v>
      </c>
      <c r="P32" s="52">
        <f t="shared" si="5"/>
        <v>0.59257225860167495</v>
      </c>
      <c r="Q32" s="52" t="e">
        <f t="shared" si="5"/>
        <v>#REF!</v>
      </c>
      <c r="R32" s="52">
        <f t="shared" si="5"/>
        <v>0</v>
      </c>
      <c r="S32" s="52">
        <f t="shared" si="5"/>
        <v>0</v>
      </c>
      <c r="U32" s="52" t="e">
        <f>U30/U12</f>
        <v>#REF!</v>
      </c>
    </row>
    <row r="33" spans="8:9" ht="14.25" hidden="1" customHeight="1" x14ac:dyDescent="0.3"/>
    <row r="34" spans="8:9" ht="14.25" hidden="1" customHeight="1" x14ac:dyDescent="0.3"/>
    <row r="35" spans="8:9" ht="14.25" hidden="1" customHeight="1" x14ac:dyDescent="0.3">
      <c r="H35" s="83" t="s">
        <v>59</v>
      </c>
    </row>
    <row r="36" spans="8:9" ht="14.25" hidden="1" customHeight="1" x14ac:dyDescent="0.3"/>
    <row r="37" spans="8:9" ht="14.25" hidden="1" customHeight="1" x14ac:dyDescent="0.3">
      <c r="H37" s="21" t="s">
        <v>60</v>
      </c>
      <c r="I37" s="21" t="s">
        <v>61</v>
      </c>
    </row>
    <row r="38" spans="8:9" ht="14.25" hidden="1" customHeight="1" x14ac:dyDescent="0.3">
      <c r="H38" t="s">
        <v>62</v>
      </c>
      <c r="I38" s="84">
        <v>46113</v>
      </c>
    </row>
    <row r="39" spans="8:9" ht="14.25" hidden="1" customHeight="1" x14ac:dyDescent="0.3">
      <c r="H39" t="s">
        <v>63</v>
      </c>
      <c r="I39" s="84">
        <v>46146</v>
      </c>
    </row>
    <row r="40" spans="8:9" ht="14.25" hidden="1" customHeight="1" x14ac:dyDescent="0.3">
      <c r="H40" t="s">
        <v>64</v>
      </c>
      <c r="I40" s="84">
        <v>46174</v>
      </c>
    </row>
    <row r="41" spans="8:9" ht="14.25" hidden="1" customHeight="1" x14ac:dyDescent="0.3">
      <c r="H41" t="s">
        <v>65</v>
      </c>
      <c r="I41" s="84">
        <v>46204</v>
      </c>
    </row>
    <row r="42" spans="8:9" ht="14.25" hidden="1" customHeight="1" x14ac:dyDescent="0.3">
      <c r="H42" t="s">
        <v>66</v>
      </c>
      <c r="I42" s="84">
        <v>46235</v>
      </c>
    </row>
    <row r="43" spans="8:9" ht="14.25" hidden="1" customHeight="1" x14ac:dyDescent="0.3">
      <c r="H43" t="s">
        <v>67</v>
      </c>
      <c r="I43" s="84">
        <v>46266</v>
      </c>
    </row>
    <row r="44" spans="8:9" ht="14.25" hidden="1" customHeight="1" x14ac:dyDescent="0.3">
      <c r="H44" t="s">
        <v>68</v>
      </c>
      <c r="I44" s="84">
        <v>46296</v>
      </c>
    </row>
    <row r="45" spans="8:9" ht="14.25" hidden="1" customHeight="1" x14ac:dyDescent="0.3">
      <c r="H45" t="s">
        <v>69</v>
      </c>
      <c r="I45" s="84">
        <v>46327</v>
      </c>
    </row>
    <row r="46" spans="8:9" ht="14.25" hidden="1" customHeight="1" x14ac:dyDescent="0.3">
      <c r="H46" t="s">
        <v>70</v>
      </c>
      <c r="I46" s="84">
        <v>46357</v>
      </c>
    </row>
    <row r="47" spans="8:9" ht="14.25" hidden="1" customHeight="1" x14ac:dyDescent="0.3">
      <c r="H47" t="s">
        <v>71</v>
      </c>
      <c r="I47" s="84">
        <v>46388</v>
      </c>
    </row>
    <row r="48" spans="8:9" ht="14.25" hidden="1" customHeight="1" x14ac:dyDescent="0.3">
      <c r="H48" t="s">
        <v>72</v>
      </c>
      <c r="I48" s="84">
        <v>46419</v>
      </c>
    </row>
    <row r="49" spans="8:9" ht="14.25" hidden="1" customHeight="1" x14ac:dyDescent="0.3">
      <c r="H49" t="s">
        <v>73</v>
      </c>
      <c r="I49" s="84">
        <v>46447</v>
      </c>
    </row>
  </sheetData>
  <mergeCells count="10">
    <mergeCell ref="B21:C21"/>
    <mergeCell ref="B23:C23"/>
    <mergeCell ref="B27:C27"/>
    <mergeCell ref="B30:C30"/>
    <mergeCell ref="B32:C32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U23"/>
  <sheetViews>
    <sheetView showGridLines="0" zoomScaleNormal="100" workbookViewId="0">
      <selection activeCell="M19" sqref="M19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74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6652</v>
      </c>
      <c r="I7" s="67">
        <v>8445</v>
      </c>
      <c r="J7" s="67">
        <v>6740</v>
      </c>
      <c r="K7" s="67">
        <v>6740</v>
      </c>
      <c r="L7" s="67">
        <v>7520</v>
      </c>
      <c r="M7" s="67">
        <v>5986</v>
      </c>
      <c r="N7" s="67">
        <v>5522</v>
      </c>
      <c r="O7" s="67">
        <v>5677</v>
      </c>
      <c r="P7" s="67">
        <v>5254</v>
      </c>
      <c r="Q7" s="67">
        <v>5654</v>
      </c>
      <c r="R7" s="67">
        <v>7113</v>
      </c>
      <c r="S7" s="67">
        <v>6764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7782.84</v>
      </c>
      <c r="I10" s="38">
        <v>9880.65</v>
      </c>
      <c r="J10" s="38">
        <v>7885.8</v>
      </c>
      <c r="K10" s="79">
        <v>7885.8</v>
      </c>
      <c r="L10" s="79">
        <v>8798.4</v>
      </c>
      <c r="M10" s="79">
        <v>7003.62</v>
      </c>
      <c r="N10" s="79">
        <v>6460.74</v>
      </c>
      <c r="O10" s="79">
        <v>6642.09</v>
      </c>
      <c r="P10" s="79">
        <v>6147.18</v>
      </c>
      <c r="Q10" s="79">
        <v>6615.18</v>
      </c>
      <c r="R10" s="79">
        <v>8322.2099999999991</v>
      </c>
      <c r="S10" s="79">
        <v>7913.88</v>
      </c>
      <c r="U10" s="40">
        <f>SUM(H10:S10)</f>
        <v>91338.389999999985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4327.6091376504</v>
      </c>
      <c r="I11" s="38">
        <v>4290.0846254411999</v>
      </c>
      <c r="J11" s="38">
        <v>4311.4358326836</v>
      </c>
      <c r="K11" s="79">
        <v>4318.4344576643998</v>
      </c>
      <c r="L11" s="79">
        <v>4258.8878708304001</v>
      </c>
      <c r="M11" s="79">
        <v>4166.1035006543998</v>
      </c>
      <c r="N11" s="79">
        <v>4269.2095634808002</v>
      </c>
      <c r="O11" s="79">
        <v>4337.8900000000003</v>
      </c>
      <c r="P11" s="79">
        <v>4214.2027021116</v>
      </c>
      <c r="Q11" s="79">
        <v>4464.5060000000003</v>
      </c>
      <c r="R11" s="79">
        <v>4580.1400000000003</v>
      </c>
      <c r="S11" s="79">
        <v>4457.3999999999996</v>
      </c>
      <c r="U11" s="40">
        <f>SUM(H11:S11)</f>
        <v>51995.903690516803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12110.449137650401</v>
      </c>
      <c r="I12" s="74">
        <f t="shared" si="0"/>
        <v>14170.7346254412</v>
      </c>
      <c r="J12" s="74">
        <f t="shared" si="0"/>
        <v>12197.2358326836</v>
      </c>
      <c r="K12" s="74">
        <f t="shared" si="0"/>
        <v>12204.234457664399</v>
      </c>
      <c r="L12" s="74">
        <f t="shared" si="0"/>
        <v>13057.2878708304</v>
      </c>
      <c r="M12" s="74">
        <f t="shared" si="0"/>
        <v>11169.7235006544</v>
      </c>
      <c r="N12" s="74">
        <f t="shared" si="0"/>
        <v>10729.949563480801</v>
      </c>
      <c r="O12" s="74">
        <f t="shared" si="0"/>
        <v>10979.98</v>
      </c>
      <c r="P12" s="74">
        <f t="shared" si="0"/>
        <v>10361.382702111601</v>
      </c>
      <c r="Q12" s="74">
        <f t="shared" si="0"/>
        <v>11079.686000000002</v>
      </c>
      <c r="R12" s="74">
        <f t="shared" si="0"/>
        <v>12902.349999999999</v>
      </c>
      <c r="S12" s="74">
        <f t="shared" si="0"/>
        <v>12371.279999999999</v>
      </c>
      <c r="U12" s="74">
        <f>SUM(U10:U11)*-1</f>
        <v>-143334.29369051679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v>254</v>
      </c>
      <c r="I16" s="67">
        <v>3609</v>
      </c>
      <c r="J16" s="67">
        <f>2095.13+15714.87</f>
        <v>17810</v>
      </c>
      <c r="K16" s="67">
        <f>4527.39+2310.61</f>
        <v>6838</v>
      </c>
      <c r="L16" s="67">
        <f>2294.73+5184.27</f>
        <v>7479</v>
      </c>
      <c r="M16" s="67">
        <f>1411.53+4702.47</f>
        <v>6114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134.25</v>
      </c>
      <c r="J19" s="38">
        <v>132.31</v>
      </c>
      <c r="K19" s="80">
        <f>3140.98+2897.9</f>
        <v>6038.88</v>
      </c>
      <c r="L19" s="80">
        <v>3327.91</v>
      </c>
      <c r="M19" s="80">
        <v>2220.2800000000002</v>
      </c>
      <c r="N19" s="80"/>
      <c r="O19" s="80"/>
      <c r="P19" s="80"/>
      <c r="Q19" s="80"/>
      <c r="R19" s="80"/>
      <c r="S19" s="80"/>
      <c r="U19" s="40">
        <f>SUM(H19:S19)</f>
        <v>11853.630000000001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4081.8335350000002</v>
      </c>
      <c r="I20" s="38">
        <v>4081.8335350000002</v>
      </c>
      <c r="J20" s="38">
        <v>4081.8335350000002</v>
      </c>
      <c r="K20" s="80"/>
      <c r="L20" s="80">
        <v>8362.4178950000005</v>
      </c>
      <c r="M20" s="80">
        <v>4280.5843599999998</v>
      </c>
      <c r="N20" s="80">
        <v>4280.5843599999998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U20" s="40">
        <f>SUM(I20:S20)</f>
        <v>25087.253685000003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4216.0835349999998</v>
      </c>
      <c r="I21" s="74">
        <f t="shared" si="1"/>
        <v>4081.8335350000002</v>
      </c>
      <c r="J21" s="74">
        <f t="shared" si="1"/>
        <v>4214.1435350000002</v>
      </c>
      <c r="K21" s="74">
        <f t="shared" si="1"/>
        <v>6038.88</v>
      </c>
      <c r="L21" s="74">
        <f t="shared" si="1"/>
        <v>11690.327895</v>
      </c>
      <c r="M21" s="74">
        <f t="shared" si="1"/>
        <v>6500.8643599999996</v>
      </c>
      <c r="N21" s="74">
        <f t="shared" si="1"/>
        <v>4280.5843599999998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-36940.883685000008</v>
      </c>
    </row>
    <row r="23" spans="2:21" ht="14.4" x14ac:dyDescent="0.3">
      <c r="B23" s="99" t="s">
        <v>34</v>
      </c>
      <c r="C23" s="99"/>
      <c r="H23" s="52">
        <f t="shared" ref="H23:S23" si="2">H21/H12</f>
        <v>0.34813601767192426</v>
      </c>
      <c r="I23" s="52">
        <f t="shared" si="2"/>
        <v>0.28804671337728294</v>
      </c>
      <c r="J23" s="52">
        <f t="shared" si="2"/>
        <v>0.34549988151477895</v>
      </c>
      <c r="K23" s="52">
        <f t="shared" si="2"/>
        <v>0.49481841904532686</v>
      </c>
      <c r="L23" s="52">
        <f t="shared" si="2"/>
        <v>0.89531057373069423</v>
      </c>
      <c r="M23" s="52">
        <f t="shared" si="2"/>
        <v>0.58200763515937826</v>
      </c>
      <c r="N23" s="52">
        <f t="shared" si="2"/>
        <v>0.39893797586606511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0.25772536867388962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U24"/>
  <sheetViews>
    <sheetView showGridLines="0" zoomScaleNormal="100" workbookViewId="0">
      <selection activeCell="J16" sqref="J16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75</v>
      </c>
      <c r="D3" s="23"/>
      <c r="E3" s="23"/>
      <c r="F3" s="23"/>
      <c r="U3" s="23"/>
    </row>
    <row r="4" spans="1:21" ht="13.5" customHeight="1" x14ac:dyDescent="0.3">
      <c r="B4" s="21"/>
      <c r="C4" s="51" t="s">
        <v>76</v>
      </c>
      <c r="D4" s="23"/>
      <c r="E4" s="23"/>
      <c r="F4" s="23"/>
      <c r="U4" s="23"/>
    </row>
    <row r="5" spans="1:21" ht="13.5" customHeight="1" x14ac:dyDescent="0.3">
      <c r="B5" s="21"/>
      <c r="C5" s="22"/>
      <c r="D5" s="23"/>
      <c r="E5" s="23"/>
      <c r="F5" s="23"/>
      <c r="U5" s="23"/>
    </row>
    <row r="6" spans="1:21" ht="13.5" customHeight="1" x14ac:dyDescent="0.3">
      <c r="B6" s="81" t="s">
        <v>56</v>
      </c>
      <c r="C6" s="22"/>
      <c r="D6" s="23"/>
      <c r="E6" s="23"/>
      <c r="F6" s="23"/>
      <c r="U6" s="23"/>
    </row>
    <row r="7" spans="1:21" ht="13.5" customHeight="1" x14ac:dyDescent="0.3">
      <c r="B7" s="21"/>
      <c r="C7" s="22"/>
      <c r="D7" s="23"/>
      <c r="E7" s="23"/>
      <c r="F7" s="23"/>
      <c r="U7" s="23"/>
    </row>
    <row r="8" spans="1:21" ht="23.4" x14ac:dyDescent="0.45">
      <c r="A8" s="21"/>
      <c r="B8" s="66"/>
      <c r="C8" s="67" t="s">
        <v>45</v>
      </c>
      <c r="E8" s="107" t="s">
        <v>46</v>
      </c>
      <c r="F8" s="107"/>
      <c r="G8" s="67">
        <f>'[1]Rateio UFV - Faturamento (R$)'!G82</f>
        <v>-1469.9317635072</v>
      </c>
      <c r="H8" s="67">
        <v>308</v>
      </c>
      <c r="I8" s="67">
        <v>404</v>
      </c>
      <c r="J8" s="67">
        <v>344</v>
      </c>
      <c r="K8" s="67">
        <v>284</v>
      </c>
      <c r="L8" s="67">
        <v>264</v>
      </c>
      <c r="M8" s="67">
        <v>244</v>
      </c>
      <c r="N8" s="67">
        <v>304</v>
      </c>
      <c r="O8" s="67">
        <v>248</v>
      </c>
      <c r="P8" s="67">
        <v>348</v>
      </c>
      <c r="Q8" s="67">
        <v>312</v>
      </c>
      <c r="R8" s="67">
        <v>376</v>
      </c>
      <c r="S8" s="67">
        <v>300</v>
      </c>
    </row>
    <row r="9" spans="1:21" ht="12" customHeight="1" x14ac:dyDescent="0.45">
      <c r="A9" s="21"/>
      <c r="B9" s="66"/>
      <c r="C9" s="68"/>
    </row>
    <row r="10" spans="1:21" ht="14.25" customHeight="1" x14ac:dyDescent="0.3">
      <c r="A10" s="21"/>
      <c r="B10" s="108" t="s">
        <v>47</v>
      </c>
      <c r="C10" s="108"/>
      <c r="D10" s="69" t="s">
        <v>48</v>
      </c>
      <c r="E10" s="69" t="s">
        <v>17</v>
      </c>
      <c r="F10" s="69" t="s">
        <v>18</v>
      </c>
      <c r="G10" s="69" t="s">
        <v>49</v>
      </c>
      <c r="H10" s="70">
        <v>46023</v>
      </c>
      <c r="I10" s="70">
        <v>46054</v>
      </c>
      <c r="J10" s="70">
        <v>46082</v>
      </c>
      <c r="K10" s="70">
        <v>46113</v>
      </c>
      <c r="L10" s="70">
        <v>46143</v>
      </c>
      <c r="M10" s="70">
        <v>46174</v>
      </c>
      <c r="N10" s="70">
        <v>46204</v>
      </c>
      <c r="O10" s="70">
        <v>46235</v>
      </c>
      <c r="P10" s="70">
        <v>46266</v>
      </c>
      <c r="Q10" s="70">
        <v>46296</v>
      </c>
      <c r="R10" s="70">
        <v>46327</v>
      </c>
      <c r="S10" s="70">
        <v>46357</v>
      </c>
      <c r="U10" s="70" t="s">
        <v>10</v>
      </c>
    </row>
    <row r="11" spans="1:21" ht="14.25" customHeight="1" x14ac:dyDescent="0.3">
      <c r="A11" s="21"/>
      <c r="B11" s="21"/>
      <c r="C11" s="77" t="s">
        <v>50</v>
      </c>
      <c r="D11" s="34"/>
      <c r="E11" s="34"/>
      <c r="F11" s="42"/>
      <c r="G11" s="44"/>
      <c r="H11" s="38">
        <v>385</v>
      </c>
      <c r="I11" s="38">
        <v>505</v>
      </c>
      <c r="J11" s="38">
        <v>430</v>
      </c>
      <c r="K11" s="79">
        <v>379.3175</v>
      </c>
      <c r="L11" s="79">
        <v>352.60500000000002</v>
      </c>
      <c r="M11" s="79">
        <v>325.89249999999998</v>
      </c>
      <c r="N11" s="79">
        <v>406.03</v>
      </c>
      <c r="O11" s="79">
        <v>331.23500000000001</v>
      </c>
      <c r="P11" s="79">
        <v>464.79750000000001</v>
      </c>
      <c r="Q11" s="79">
        <v>416.71499999999997</v>
      </c>
      <c r="R11" s="79">
        <v>502.19499999999999</v>
      </c>
      <c r="S11" s="79">
        <v>400.6875</v>
      </c>
      <c r="U11" s="40">
        <f>SUM(H11:S11)</f>
        <v>4899.4750000000004</v>
      </c>
    </row>
    <row r="12" spans="1:21" ht="14.25" customHeight="1" x14ac:dyDescent="0.3">
      <c r="A12" s="21"/>
      <c r="B12" s="21"/>
      <c r="C12" s="77" t="s">
        <v>52</v>
      </c>
      <c r="D12" s="78"/>
      <c r="E12" s="78"/>
      <c r="F12" s="43"/>
      <c r="G12" s="46"/>
      <c r="H12" s="38">
        <v>0</v>
      </c>
      <c r="I12" s="38">
        <v>0</v>
      </c>
      <c r="J12" s="38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U12" s="40">
        <f>SUM(H12:S12)</f>
        <v>0</v>
      </c>
    </row>
    <row r="13" spans="1:21" ht="14.25" customHeight="1" x14ac:dyDescent="0.3">
      <c r="B13" s="106" t="s">
        <v>30</v>
      </c>
      <c r="C13" s="106"/>
      <c r="D13" s="72"/>
      <c r="E13" s="72"/>
      <c r="F13" s="73"/>
      <c r="G13" s="73"/>
      <c r="H13" s="74">
        <f t="shared" ref="H13:S13" si="0">SUM(H11:H12)</f>
        <v>385</v>
      </c>
      <c r="I13" s="74">
        <f t="shared" si="0"/>
        <v>505</v>
      </c>
      <c r="J13" s="74">
        <f t="shared" si="0"/>
        <v>430</v>
      </c>
      <c r="K13" s="74">
        <f t="shared" si="0"/>
        <v>379.3175</v>
      </c>
      <c r="L13" s="74">
        <f t="shared" si="0"/>
        <v>352.60500000000002</v>
      </c>
      <c r="M13" s="74">
        <f t="shared" si="0"/>
        <v>325.89249999999998</v>
      </c>
      <c r="N13" s="74">
        <f t="shared" si="0"/>
        <v>406.03</v>
      </c>
      <c r="O13" s="74">
        <f t="shared" si="0"/>
        <v>331.23500000000001</v>
      </c>
      <c r="P13" s="74">
        <f t="shared" si="0"/>
        <v>464.79750000000001</v>
      </c>
      <c r="Q13" s="74">
        <f t="shared" si="0"/>
        <v>416.71499999999997</v>
      </c>
      <c r="R13" s="74">
        <f t="shared" si="0"/>
        <v>502.19499999999999</v>
      </c>
      <c r="S13" s="74">
        <f t="shared" si="0"/>
        <v>400.6875</v>
      </c>
      <c r="U13" s="74">
        <f>SUM(U11:U12)*-1</f>
        <v>-4899.4750000000004</v>
      </c>
    </row>
    <row r="15" spans="1:21" ht="14.25" customHeight="1" x14ac:dyDescent="0.3">
      <c r="B15" s="81" t="s">
        <v>4</v>
      </c>
    </row>
    <row r="17" spans="2:21" ht="23.25" customHeight="1" x14ac:dyDescent="0.45">
      <c r="B17" s="66"/>
      <c r="C17" s="67" t="s">
        <v>45</v>
      </c>
      <c r="E17" s="107" t="s">
        <v>46</v>
      </c>
      <c r="F17" s="107"/>
      <c r="G17" s="67">
        <f>'[1]Rateio UFV - Faturamento (R$)'!G89</f>
        <v>0</v>
      </c>
      <c r="H17" s="67">
        <v>256</v>
      </c>
      <c r="I17" s="67">
        <v>248</v>
      </c>
      <c r="J17" s="67">
        <v>336</v>
      </c>
      <c r="K17" s="67">
        <v>100</v>
      </c>
      <c r="L17" s="67">
        <v>428</v>
      </c>
      <c r="M17" s="67">
        <v>196</v>
      </c>
      <c r="N17" s="67"/>
      <c r="O17" s="67"/>
      <c r="P17" s="67"/>
      <c r="Q17" s="67"/>
      <c r="R17" s="67"/>
      <c r="S17" s="67"/>
    </row>
    <row r="18" spans="2:21" ht="14.25" customHeight="1" x14ac:dyDescent="0.45">
      <c r="B18" s="66"/>
      <c r="C18" s="68"/>
    </row>
    <row r="19" spans="2:21" ht="14.25" customHeight="1" x14ac:dyDescent="0.3">
      <c r="B19" s="108" t="s">
        <v>47</v>
      </c>
      <c r="C19" s="108"/>
      <c r="D19" s="69" t="s">
        <v>48</v>
      </c>
      <c r="E19" s="69" t="s">
        <v>17</v>
      </c>
      <c r="F19" s="69" t="s">
        <v>18</v>
      </c>
      <c r="G19" s="69" t="s">
        <v>49</v>
      </c>
      <c r="H19" s="70">
        <v>46023</v>
      </c>
      <c r="I19" s="70">
        <v>46054</v>
      </c>
      <c r="J19" s="70">
        <v>46082</v>
      </c>
      <c r="K19" s="70">
        <v>46113</v>
      </c>
      <c r="L19" s="70">
        <v>46143</v>
      </c>
      <c r="M19" s="70">
        <v>46174</v>
      </c>
      <c r="N19" s="70">
        <v>46204</v>
      </c>
      <c r="O19" s="70">
        <v>46235</v>
      </c>
      <c r="P19" s="70">
        <v>46266</v>
      </c>
      <c r="Q19" s="70">
        <v>46296</v>
      </c>
      <c r="R19" s="70">
        <v>46327</v>
      </c>
      <c r="S19" s="70">
        <v>46357</v>
      </c>
      <c r="U19" s="70" t="s">
        <v>10</v>
      </c>
    </row>
    <row r="20" spans="2:21" ht="14.25" customHeight="1" x14ac:dyDescent="0.3">
      <c r="B20" s="21"/>
      <c r="C20" s="77" t="s">
        <v>50</v>
      </c>
      <c r="D20" s="34">
        <f>'[1]Rateio UFV - Faturamento (R$)'!H88</f>
        <v>0</v>
      </c>
      <c r="E20" s="34" t="s">
        <v>28</v>
      </c>
      <c r="F20" s="42" t="s">
        <v>29</v>
      </c>
      <c r="G20" s="44" t="e">
        <f>D20*(1+#REF!)</f>
        <v>#REF!</v>
      </c>
      <c r="H20" s="38">
        <v>0</v>
      </c>
      <c r="I20" s="38">
        <v>0</v>
      </c>
      <c r="J20" s="38">
        <v>0</v>
      </c>
      <c r="K20" s="80">
        <v>0</v>
      </c>
      <c r="L20" s="80">
        <v>0</v>
      </c>
      <c r="M20" s="80">
        <v>0</v>
      </c>
      <c r="N20" s="80"/>
      <c r="O20" s="80"/>
      <c r="P20" s="80"/>
      <c r="Q20" s="80"/>
      <c r="R20" s="80"/>
      <c r="S20" s="80"/>
      <c r="U20" s="40">
        <f>SUM(H20:S20)</f>
        <v>0</v>
      </c>
    </row>
    <row r="21" spans="2:21" ht="14.25" customHeight="1" x14ac:dyDescent="0.3">
      <c r="C21" s="85" t="s">
        <v>52</v>
      </c>
      <c r="D21" s="78"/>
      <c r="E21" s="78"/>
      <c r="F21" s="43"/>
      <c r="G21" s="46"/>
      <c r="H21" s="38">
        <v>0</v>
      </c>
      <c r="I21" s="38">
        <v>0</v>
      </c>
      <c r="J21" s="38"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U21" s="40">
        <f>SUM(H21:S21)</f>
        <v>0</v>
      </c>
    </row>
    <row r="22" spans="2:21" ht="14.25" customHeight="1" x14ac:dyDescent="0.3">
      <c r="B22" s="106" t="s">
        <v>30</v>
      </c>
      <c r="C22" s="106"/>
      <c r="D22" s="72"/>
      <c r="E22" s="72"/>
      <c r="F22" s="73"/>
      <c r="G22" s="73"/>
      <c r="H22" s="74">
        <f t="shared" ref="H22:S22" si="1">SUM(H20:H21)</f>
        <v>0</v>
      </c>
      <c r="I22" s="74">
        <f t="shared" si="1"/>
        <v>0</v>
      </c>
      <c r="J22" s="74">
        <f t="shared" si="1"/>
        <v>0</v>
      </c>
      <c r="K22" s="74">
        <f t="shared" si="1"/>
        <v>0</v>
      </c>
      <c r="L22" s="74">
        <f t="shared" si="1"/>
        <v>0</v>
      </c>
      <c r="M22" s="74">
        <f t="shared" si="1"/>
        <v>0</v>
      </c>
      <c r="N22" s="74">
        <f t="shared" si="1"/>
        <v>0</v>
      </c>
      <c r="O22" s="74">
        <f t="shared" si="1"/>
        <v>0</v>
      </c>
      <c r="P22" s="74">
        <f t="shared" si="1"/>
        <v>0</v>
      </c>
      <c r="Q22" s="74">
        <f t="shared" si="1"/>
        <v>0</v>
      </c>
      <c r="R22" s="74">
        <f t="shared" si="1"/>
        <v>0</v>
      </c>
      <c r="S22" s="74">
        <f t="shared" si="1"/>
        <v>0</v>
      </c>
      <c r="U22" s="74">
        <f>SUM(U20:U21)*-1</f>
        <v>0</v>
      </c>
    </row>
    <row r="24" spans="2:21" ht="14.4" x14ac:dyDescent="0.3">
      <c r="B24" s="99" t="s">
        <v>34</v>
      </c>
      <c r="C24" s="99"/>
      <c r="H24" s="52">
        <f t="shared" ref="H24:S24" si="2">H22/H13</f>
        <v>0</v>
      </c>
      <c r="I24" s="52">
        <f t="shared" si="2"/>
        <v>0</v>
      </c>
      <c r="J24" s="52">
        <f t="shared" si="2"/>
        <v>0</v>
      </c>
      <c r="K24" s="52">
        <f t="shared" si="2"/>
        <v>0</v>
      </c>
      <c r="L24" s="52">
        <f t="shared" si="2"/>
        <v>0</v>
      </c>
      <c r="M24" s="52">
        <f t="shared" si="2"/>
        <v>0</v>
      </c>
      <c r="N24" s="52">
        <f t="shared" si="2"/>
        <v>0</v>
      </c>
      <c r="O24" s="52">
        <f t="shared" si="2"/>
        <v>0</v>
      </c>
      <c r="P24" s="52">
        <f t="shared" si="2"/>
        <v>0</v>
      </c>
      <c r="Q24" s="52">
        <f t="shared" si="2"/>
        <v>0</v>
      </c>
      <c r="R24" s="52">
        <f t="shared" si="2"/>
        <v>0</v>
      </c>
      <c r="S24" s="52">
        <f t="shared" si="2"/>
        <v>0</v>
      </c>
      <c r="U24" s="52">
        <f>U22/U13</f>
        <v>0</v>
      </c>
    </row>
  </sheetData>
  <mergeCells count="7">
    <mergeCell ref="B22:C22"/>
    <mergeCell ref="B24:C24"/>
    <mergeCell ref="E8:F8"/>
    <mergeCell ref="B10:C10"/>
    <mergeCell ref="B13:C13"/>
    <mergeCell ref="E17:F17"/>
    <mergeCell ref="B19:C1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U23"/>
  <sheetViews>
    <sheetView showGridLines="0" topLeftCell="A6" zoomScaleNormal="100" workbookViewId="0">
      <selection activeCell="L19" sqref="L19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77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11012.2171428571</v>
      </c>
      <c r="I7" s="67">
        <v>12506.56</v>
      </c>
      <c r="J7" s="67">
        <v>10248</v>
      </c>
      <c r="K7" s="67">
        <v>14282.44</v>
      </c>
      <c r="L7" s="67">
        <v>13773.01</v>
      </c>
      <c r="M7" s="67">
        <v>13263.58</v>
      </c>
      <c r="N7" s="67">
        <v>4938.49</v>
      </c>
      <c r="O7" s="67">
        <v>8073.44</v>
      </c>
      <c r="P7" s="67">
        <v>11012.2171428571</v>
      </c>
      <c r="Q7" s="67">
        <v>11012.2171428571</v>
      </c>
      <c r="R7" s="67">
        <v>11012.2171428571</v>
      </c>
      <c r="S7" s="67">
        <v>11012.2171428571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t="s">
        <v>50</v>
      </c>
      <c r="D10" s="34"/>
      <c r="E10" s="34"/>
      <c r="F10" s="42"/>
      <c r="G10" s="44"/>
      <c r="H10" s="38">
        <v>11783.0723428571</v>
      </c>
      <c r="I10" s="38">
        <v>13382.019200000001</v>
      </c>
      <c r="J10" s="38">
        <v>10965.36</v>
      </c>
      <c r="K10" s="79">
        <v>15282.210800000001</v>
      </c>
      <c r="L10" s="79">
        <v>14737.120699999999</v>
      </c>
      <c r="M10" s="79">
        <v>14192.0306</v>
      </c>
      <c r="N10" s="79">
        <v>5284.1842999999999</v>
      </c>
      <c r="O10" s="79">
        <v>8638.5807999999997</v>
      </c>
      <c r="P10" s="79">
        <v>11783.0723428571</v>
      </c>
      <c r="Q10" s="79">
        <v>11783.0723428571</v>
      </c>
      <c r="R10" s="79">
        <v>11783.0723428571</v>
      </c>
      <c r="S10" s="79">
        <v>11783.0723428571</v>
      </c>
      <c r="U10" s="40">
        <f>SUM(H10:S10)</f>
        <v>141396.86811428552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2093.4641726250002</v>
      </c>
      <c r="I11" s="38">
        <v>2075.3118350625</v>
      </c>
      <c r="J11" s="38">
        <v>2085.6403989374999</v>
      </c>
      <c r="K11" s="79">
        <v>2089.0259566875002</v>
      </c>
      <c r="L11" s="79">
        <v>2060.22052575</v>
      </c>
      <c r="M11" s="79">
        <v>2015.3364457499999</v>
      </c>
      <c r="N11" s="79">
        <v>2065.2136046249998</v>
      </c>
      <c r="O11" s="79">
        <v>2098.4375</v>
      </c>
      <c r="P11" s="79">
        <v>2038.6042483125</v>
      </c>
      <c r="Q11" s="79">
        <v>2159.6875</v>
      </c>
      <c r="R11" s="79">
        <v>2215.625</v>
      </c>
      <c r="S11" s="79">
        <v>2156.25</v>
      </c>
      <c r="U11" s="40">
        <f>SUM(H11:S11)</f>
        <v>25152.817187749999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SUM(H10)</f>
        <v>11783.0723428571</v>
      </c>
      <c r="I12" s="74">
        <f t="shared" si="0"/>
        <v>13382.019200000001</v>
      </c>
      <c r="J12" s="74">
        <f t="shared" si="0"/>
        <v>10965.36</v>
      </c>
      <c r="K12" s="74">
        <f t="shared" si="0"/>
        <v>15282.210800000001</v>
      </c>
      <c r="L12" s="74">
        <f t="shared" si="0"/>
        <v>14737.120699999999</v>
      </c>
      <c r="M12" s="74">
        <f t="shared" si="0"/>
        <v>14192.0306</v>
      </c>
      <c r="N12" s="74">
        <f t="shared" si="0"/>
        <v>5284.1842999999999</v>
      </c>
      <c r="O12" s="74">
        <f t="shared" si="0"/>
        <v>8638.5807999999997</v>
      </c>
      <c r="P12" s="74">
        <f t="shared" si="0"/>
        <v>11783.0723428571</v>
      </c>
      <c r="Q12" s="74">
        <f t="shared" si="0"/>
        <v>11783.0723428571</v>
      </c>
      <c r="R12" s="74">
        <f t="shared" si="0"/>
        <v>11783.0723428571</v>
      </c>
      <c r="S12" s="74">
        <f t="shared" si="0"/>
        <v>11783.0723428571</v>
      </c>
      <c r="U12" s="74">
        <f>SUM(U10:U11)*-1</f>
        <v>-166549.68530203553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10933.84+705.28+5676.84</f>
        <v>17315.96</v>
      </c>
      <c r="I16" s="67">
        <v>9329.44</v>
      </c>
      <c r="J16" s="67">
        <f>15336.09+846.32+4925.96</f>
        <v>21108.37</v>
      </c>
      <c r="K16" s="67">
        <f>10480.87+5466.51+606.47</f>
        <v>16553.850000000002</v>
      </c>
      <c r="L16" s="67">
        <f>9956.15+499.87+5038.68</f>
        <v>15494.7</v>
      </c>
      <c r="M16" s="67"/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13465.94</v>
      </c>
      <c r="I19" s="38">
        <v>18184.060000000001</v>
      </c>
      <c r="J19" s="38">
        <v>5853</v>
      </c>
      <c r="K19" s="38">
        <v>20422.330000000002</v>
      </c>
      <c r="L19" s="80">
        <v>12778.11</v>
      </c>
      <c r="M19" s="80">
        <v>16497.509999999998</v>
      </c>
      <c r="N19" s="80"/>
      <c r="O19" s="80"/>
      <c r="P19" s="80"/>
      <c r="Q19" s="80"/>
      <c r="R19" s="80"/>
      <c r="S19" s="80"/>
      <c r="U19" s="40">
        <f>SUM(I19:S19)</f>
        <v>73735.009999999995</v>
      </c>
    </row>
    <row r="20" spans="2:21" ht="14.25" customHeight="1" x14ac:dyDescent="0.3">
      <c r="B20" s="21"/>
      <c r="C20" s="77" t="s">
        <v>52</v>
      </c>
      <c r="D20" s="78"/>
      <c r="E20" s="78"/>
      <c r="F20" s="43"/>
      <c r="G20" s="46"/>
      <c r="H20" s="38">
        <v>4373.6569280000003</v>
      </c>
      <c r="I20" s="38">
        <v>4373.6569280000003</v>
      </c>
      <c r="J20" s="38">
        <v>4373.6569280000003</v>
      </c>
      <c r="K20" s="38"/>
      <c r="L20" s="80">
        <v>8960.2740159999994</v>
      </c>
      <c r="M20" s="80">
        <v>4586.617088</v>
      </c>
      <c r="N20" s="80"/>
      <c r="O20" s="80"/>
      <c r="P20" s="80"/>
      <c r="Q20" s="80"/>
      <c r="R20" s="80"/>
      <c r="S20" s="80"/>
      <c r="U20" s="40">
        <f>SUM(I20:S20)</f>
        <v>22294.204959999999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17839.596927999999</v>
      </c>
      <c r="I21" s="74">
        <f t="shared" si="1"/>
        <v>22557.716928000002</v>
      </c>
      <c r="J21" s="74">
        <f t="shared" si="1"/>
        <v>10226.656928</v>
      </c>
      <c r="K21" s="74">
        <f t="shared" si="1"/>
        <v>20422.330000000002</v>
      </c>
      <c r="L21" s="74">
        <f t="shared" si="1"/>
        <v>21738.384016</v>
      </c>
      <c r="M21" s="74">
        <f t="shared" si="1"/>
        <v>21084.127087999997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-96029.214959999998</v>
      </c>
    </row>
    <row r="23" spans="2:21" ht="14.4" x14ac:dyDescent="0.3">
      <c r="B23" s="99" t="s">
        <v>34</v>
      </c>
      <c r="C23" s="99"/>
      <c r="H23" s="52">
        <f t="shared" ref="H23:S23" si="2">H21/H12</f>
        <v>1.5140021557123313</v>
      </c>
      <c r="I23" s="52">
        <f t="shared" si="2"/>
        <v>1.6856736334678104</v>
      </c>
      <c r="J23" s="52">
        <f t="shared" si="2"/>
        <v>0.93263303056169611</v>
      </c>
      <c r="K23" s="52">
        <f t="shared" si="2"/>
        <v>1.3363465710079068</v>
      </c>
      <c r="L23" s="52">
        <f t="shared" si="2"/>
        <v>1.4750767438581134</v>
      </c>
      <c r="M23" s="52">
        <f t="shared" si="2"/>
        <v>1.4856314562906874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0.57657998444039305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U24"/>
  <sheetViews>
    <sheetView showGridLines="0" topLeftCell="A3" zoomScaleNormal="100" workbookViewId="0">
      <selection activeCell="L14" sqref="L14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78</v>
      </c>
      <c r="D3" s="23"/>
      <c r="E3" s="23"/>
      <c r="F3" s="23"/>
      <c r="U3" s="23"/>
    </row>
    <row r="4" spans="1:21" ht="13.5" customHeight="1" x14ac:dyDescent="0.3">
      <c r="B4" s="21"/>
      <c r="C4" s="51" t="s">
        <v>76</v>
      </c>
      <c r="D4" s="23"/>
      <c r="E4" s="23"/>
      <c r="F4" s="23"/>
      <c r="U4" s="23"/>
    </row>
    <row r="5" spans="1:21" ht="13.5" customHeight="1" x14ac:dyDescent="0.3">
      <c r="B5" s="21"/>
      <c r="C5" s="22"/>
      <c r="D5" s="23"/>
      <c r="E5" s="23"/>
      <c r="F5" s="23"/>
      <c r="U5" s="23"/>
    </row>
    <row r="6" spans="1:21" ht="13.5" customHeight="1" x14ac:dyDescent="0.3">
      <c r="B6" s="81" t="s">
        <v>56</v>
      </c>
      <c r="C6" s="22"/>
      <c r="D6" s="23"/>
      <c r="E6" s="23"/>
      <c r="F6" s="23"/>
      <c r="U6" s="23"/>
    </row>
    <row r="7" spans="1:21" ht="13.5" customHeight="1" x14ac:dyDescent="0.3">
      <c r="B7" s="21"/>
      <c r="C7" s="22"/>
      <c r="D7" s="23"/>
      <c r="E7" s="23"/>
      <c r="F7" s="23"/>
      <c r="U7" s="23"/>
    </row>
    <row r="8" spans="1:21" ht="23.4" x14ac:dyDescent="0.45">
      <c r="A8" s="21"/>
      <c r="B8" s="66"/>
      <c r="C8" s="67" t="s">
        <v>45</v>
      </c>
      <c r="E8" s="107" t="s">
        <v>46</v>
      </c>
      <c r="F8" s="107"/>
      <c r="G8" s="67">
        <f>'[1]Rateio UFV - Faturamento (R$)'!G82</f>
        <v>-1469.9317635072</v>
      </c>
      <c r="H8" s="67">
        <v>6265</v>
      </c>
      <c r="I8" s="67">
        <v>8786</v>
      </c>
      <c r="J8" s="67">
        <v>7420</v>
      </c>
      <c r="K8" s="67">
        <v>8020</v>
      </c>
      <c r="L8" s="67">
        <v>7256</v>
      </c>
      <c r="M8" s="67">
        <v>5927</v>
      </c>
      <c r="N8" s="67">
        <v>4902</v>
      </c>
      <c r="O8" s="67">
        <v>4792</v>
      </c>
      <c r="P8" s="67">
        <v>4797</v>
      </c>
      <c r="Q8" s="67">
        <v>5337</v>
      </c>
      <c r="R8" s="67">
        <v>6190</v>
      </c>
      <c r="S8" s="67">
        <v>5905</v>
      </c>
    </row>
    <row r="9" spans="1:21" ht="12" customHeight="1" x14ac:dyDescent="0.45">
      <c r="A9" s="21"/>
      <c r="B9" s="66"/>
      <c r="C9" s="68"/>
    </row>
    <row r="10" spans="1:21" ht="14.25" customHeight="1" x14ac:dyDescent="0.3">
      <c r="A10" s="21"/>
      <c r="B10" s="108" t="s">
        <v>47</v>
      </c>
      <c r="C10" s="108"/>
      <c r="D10" s="69" t="s">
        <v>48</v>
      </c>
      <c r="E10" s="69" t="s">
        <v>17</v>
      </c>
      <c r="F10" s="69" t="s">
        <v>18</v>
      </c>
      <c r="G10" s="69" t="s">
        <v>49</v>
      </c>
      <c r="H10" s="70">
        <v>46023</v>
      </c>
      <c r="I10" s="70">
        <v>46054</v>
      </c>
      <c r="J10" s="70">
        <v>46082</v>
      </c>
      <c r="K10" s="70">
        <v>46113</v>
      </c>
      <c r="L10" s="70">
        <v>46143</v>
      </c>
      <c r="M10" s="70">
        <v>46174</v>
      </c>
      <c r="N10" s="70">
        <v>46204</v>
      </c>
      <c r="O10" s="70">
        <v>46235</v>
      </c>
      <c r="P10" s="70">
        <v>46266</v>
      </c>
      <c r="Q10" s="70">
        <v>46296</v>
      </c>
      <c r="R10" s="70">
        <v>46327</v>
      </c>
      <c r="S10" s="70">
        <v>46357</v>
      </c>
      <c r="U10" s="70" t="s">
        <v>10</v>
      </c>
    </row>
    <row r="11" spans="1:21" ht="14.25" customHeight="1" x14ac:dyDescent="0.3">
      <c r="A11" s="21"/>
      <c r="B11" s="21"/>
      <c r="C11" s="77" t="s">
        <v>50</v>
      </c>
      <c r="D11" s="34"/>
      <c r="E11" s="34"/>
      <c r="F11" s="42"/>
      <c r="G11" s="44"/>
      <c r="H11" s="38">
        <v>8269.7999999999993</v>
      </c>
      <c r="I11" s="38">
        <v>11597.52</v>
      </c>
      <c r="J11" s="38">
        <v>9794.4</v>
      </c>
      <c r="K11" s="79">
        <v>10586.4</v>
      </c>
      <c r="L11" s="79">
        <v>9577.92</v>
      </c>
      <c r="M11" s="79">
        <v>7823.64</v>
      </c>
      <c r="N11" s="79">
        <v>6470.64</v>
      </c>
      <c r="O11" s="79">
        <v>6325.44</v>
      </c>
      <c r="P11" s="79">
        <v>6332.04</v>
      </c>
      <c r="Q11" s="79">
        <v>7044.84</v>
      </c>
      <c r="R11" s="79">
        <v>8170.8</v>
      </c>
      <c r="S11" s="79">
        <v>7794.6</v>
      </c>
      <c r="U11" s="40">
        <f>SUM(H11:S11)</f>
        <v>99788.04</v>
      </c>
    </row>
    <row r="12" spans="1:21" ht="14.25" customHeight="1" x14ac:dyDescent="0.3">
      <c r="A12" s="21"/>
      <c r="B12" s="21"/>
      <c r="C12" s="77" t="s">
        <v>52</v>
      </c>
      <c r="D12" s="78"/>
      <c r="E12" s="78"/>
      <c r="F12" s="43"/>
      <c r="G12" s="46"/>
      <c r="H12" s="38">
        <v>3681.1474011437999</v>
      </c>
      <c r="I12" s="38">
        <v>3649.2283307738999</v>
      </c>
      <c r="J12" s="38">
        <v>3667.3900774917001</v>
      </c>
      <c r="K12" s="79">
        <v>3673.3432422392998</v>
      </c>
      <c r="L12" s="79">
        <v>3622.6917724788</v>
      </c>
      <c r="M12" s="79">
        <v>3543.7676062067999</v>
      </c>
      <c r="N12" s="79">
        <v>3631.4716023726</v>
      </c>
      <c r="O12" s="79">
        <v>3689.8924999999999</v>
      </c>
      <c r="P12" s="79">
        <v>3584.6817102327</v>
      </c>
      <c r="Q12" s="79">
        <v>3797.5945000000002</v>
      </c>
      <c r="R12" s="79">
        <v>3895.9549999999999</v>
      </c>
      <c r="S12" s="79">
        <v>3791.55</v>
      </c>
      <c r="U12" s="40">
        <f>SUM(H12:S12)</f>
        <v>44228.71374293961</v>
      </c>
    </row>
    <row r="13" spans="1:21" ht="14.25" customHeight="1" x14ac:dyDescent="0.3">
      <c r="B13" s="106" t="s">
        <v>30</v>
      </c>
      <c r="C13" s="106"/>
      <c r="D13" s="72"/>
      <c r="E13" s="72"/>
      <c r="F13" s="73"/>
      <c r="G13" s="73"/>
      <c r="H13" s="74">
        <f t="shared" ref="H13:S13" si="0">SUM(H11:H12)</f>
        <v>11950.9474011438</v>
      </c>
      <c r="I13" s="74">
        <f t="shared" si="0"/>
        <v>15246.7483307739</v>
      </c>
      <c r="J13" s="74">
        <f t="shared" si="0"/>
        <v>13461.7900774917</v>
      </c>
      <c r="K13" s="74">
        <f t="shared" si="0"/>
        <v>14259.743242239299</v>
      </c>
      <c r="L13" s="74">
        <f t="shared" si="0"/>
        <v>13200.6117724788</v>
      </c>
      <c r="M13" s="74">
        <f t="shared" si="0"/>
        <v>11367.4076062068</v>
      </c>
      <c r="N13" s="74">
        <f t="shared" si="0"/>
        <v>10102.111602372601</v>
      </c>
      <c r="O13" s="74">
        <f t="shared" si="0"/>
        <v>10015.3325</v>
      </c>
      <c r="P13" s="74">
        <f t="shared" si="0"/>
        <v>9916.7217102326995</v>
      </c>
      <c r="Q13" s="74">
        <f t="shared" si="0"/>
        <v>10842.434499999999</v>
      </c>
      <c r="R13" s="74">
        <f t="shared" si="0"/>
        <v>12066.755000000001</v>
      </c>
      <c r="S13" s="74">
        <f t="shared" si="0"/>
        <v>11586.150000000001</v>
      </c>
      <c r="U13" s="74">
        <f>SUM(U11:U12)*-1</f>
        <v>-144016.75374293962</v>
      </c>
    </row>
    <row r="15" spans="1:21" ht="14.25" customHeight="1" x14ac:dyDescent="0.3">
      <c r="B15" s="81" t="s">
        <v>4</v>
      </c>
    </row>
    <row r="17" spans="2:21" ht="23.25" customHeight="1" x14ac:dyDescent="0.45">
      <c r="B17" s="66"/>
      <c r="C17" s="67" t="s">
        <v>45</v>
      </c>
      <c r="E17" s="107" t="s">
        <v>46</v>
      </c>
      <c r="F17" s="107"/>
      <c r="G17" s="67">
        <f>'[1]Rateio UFV - Faturamento (R$)'!G89</f>
        <v>0</v>
      </c>
      <c r="H17" s="67">
        <v>6001</v>
      </c>
      <c r="I17" s="67">
        <v>6240</v>
      </c>
      <c r="J17" s="67">
        <v>6957</v>
      </c>
      <c r="K17" s="67">
        <v>6689</v>
      </c>
      <c r="L17" s="67">
        <v>5964</v>
      </c>
      <c r="M17" s="67">
        <v>5369</v>
      </c>
      <c r="N17" s="67"/>
      <c r="O17" s="67"/>
      <c r="P17" s="67"/>
      <c r="Q17" s="67"/>
      <c r="R17" s="67"/>
      <c r="S17" s="67"/>
    </row>
    <row r="18" spans="2:21" ht="14.25" customHeight="1" x14ac:dyDescent="0.45">
      <c r="B18" s="66"/>
      <c r="C18" s="68"/>
    </row>
    <row r="19" spans="2:21" ht="14.25" customHeight="1" x14ac:dyDescent="0.3">
      <c r="B19" s="108" t="s">
        <v>47</v>
      </c>
      <c r="C19" s="108"/>
      <c r="D19" s="69" t="s">
        <v>48</v>
      </c>
      <c r="E19" s="69" t="s">
        <v>17</v>
      </c>
      <c r="F19" s="69" t="s">
        <v>18</v>
      </c>
      <c r="G19" s="69" t="s">
        <v>49</v>
      </c>
      <c r="H19" s="70">
        <v>46023</v>
      </c>
      <c r="I19" s="70">
        <v>46054</v>
      </c>
      <c r="J19" s="70">
        <v>46082</v>
      </c>
      <c r="K19" s="70">
        <v>46113</v>
      </c>
      <c r="L19" s="70">
        <v>46143</v>
      </c>
      <c r="M19" s="70">
        <v>46174</v>
      </c>
      <c r="N19" s="70">
        <v>46204</v>
      </c>
      <c r="O19" s="70">
        <v>46235</v>
      </c>
      <c r="P19" s="70">
        <v>46266</v>
      </c>
      <c r="Q19" s="70">
        <v>46296</v>
      </c>
      <c r="R19" s="70">
        <v>46327</v>
      </c>
      <c r="S19" s="70">
        <v>46357</v>
      </c>
      <c r="U19" s="70" t="s">
        <v>10</v>
      </c>
    </row>
    <row r="20" spans="2:21" ht="14.25" customHeight="1" x14ac:dyDescent="0.3">
      <c r="B20" s="21"/>
      <c r="C20" s="77" t="s">
        <v>50</v>
      </c>
      <c r="D20" s="34">
        <f>'[1]Rateio UFV - Faturamento (R$)'!H88</f>
        <v>0</v>
      </c>
      <c r="E20" s="34" t="s">
        <v>28</v>
      </c>
      <c r="F20" s="42" t="s">
        <v>29</v>
      </c>
      <c r="G20" s="44" t="e">
        <f>D20*(1+#REF!)</f>
        <v>#REF!</v>
      </c>
      <c r="H20" s="38">
        <v>127.79</v>
      </c>
      <c r="I20" s="38">
        <v>125.64</v>
      </c>
      <c r="J20" s="38">
        <v>125.16</v>
      </c>
      <c r="K20" s="80">
        <v>126.05</v>
      </c>
      <c r="L20" s="80">
        <v>540.72</v>
      </c>
      <c r="M20" s="80">
        <v>135.16999999999999</v>
      </c>
      <c r="N20" s="80"/>
      <c r="O20" s="80"/>
      <c r="P20" s="80"/>
      <c r="Q20" s="80"/>
      <c r="R20" s="80"/>
      <c r="S20" s="80"/>
      <c r="U20" s="40">
        <f>SUM(H20:S20)</f>
        <v>1180.5300000000002</v>
      </c>
    </row>
    <row r="21" spans="2:21" ht="14.25" customHeight="1" x14ac:dyDescent="0.3">
      <c r="C21" s="85" t="s">
        <v>52</v>
      </c>
      <c r="D21" s="78"/>
      <c r="E21" s="78"/>
      <c r="F21" s="43"/>
      <c r="G21" s="46"/>
      <c r="H21" s="38">
        <v>0</v>
      </c>
      <c r="I21" s="38">
        <v>0</v>
      </c>
      <c r="J21" s="38"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U21" s="40">
        <f>SUM(H21:S21)</f>
        <v>0</v>
      </c>
    </row>
    <row r="22" spans="2:21" ht="14.25" customHeight="1" x14ac:dyDescent="0.3">
      <c r="B22" s="106" t="s">
        <v>30</v>
      </c>
      <c r="C22" s="106"/>
      <c r="D22" s="72"/>
      <c r="E22" s="72"/>
      <c r="F22" s="73"/>
      <c r="G22" s="73"/>
      <c r="H22" s="74">
        <f t="shared" ref="H22:S22" si="1">SUM(H20:H21)</f>
        <v>127.79</v>
      </c>
      <c r="I22" s="74">
        <f t="shared" si="1"/>
        <v>125.64</v>
      </c>
      <c r="J22" s="74">
        <f t="shared" si="1"/>
        <v>125.16</v>
      </c>
      <c r="K22" s="74">
        <f t="shared" si="1"/>
        <v>126.05</v>
      </c>
      <c r="L22" s="74">
        <f t="shared" si="1"/>
        <v>540.72</v>
      </c>
      <c r="M22" s="74">
        <f t="shared" si="1"/>
        <v>135.16999999999999</v>
      </c>
      <c r="N22" s="74">
        <f t="shared" si="1"/>
        <v>0</v>
      </c>
      <c r="O22" s="74">
        <f t="shared" si="1"/>
        <v>0</v>
      </c>
      <c r="P22" s="74">
        <f t="shared" si="1"/>
        <v>0</v>
      </c>
      <c r="Q22" s="74">
        <f t="shared" si="1"/>
        <v>0</v>
      </c>
      <c r="R22" s="74">
        <f t="shared" si="1"/>
        <v>0</v>
      </c>
      <c r="S22" s="74">
        <f t="shared" si="1"/>
        <v>0</v>
      </c>
      <c r="U22" s="74">
        <f>SUM(U20:U21)*-1</f>
        <v>-1180.5300000000002</v>
      </c>
    </row>
    <row r="24" spans="2:21" ht="14.4" x14ac:dyDescent="0.3">
      <c r="B24" s="99" t="s">
        <v>34</v>
      </c>
      <c r="C24" s="99"/>
      <c r="H24" s="52">
        <f t="shared" ref="H24:S24" si="2">H22/H13</f>
        <v>1.0692876113551424E-2</v>
      </c>
      <c r="I24" s="52">
        <f t="shared" si="2"/>
        <v>8.2404455871032747E-3</v>
      </c>
      <c r="J24" s="52">
        <f t="shared" si="2"/>
        <v>9.2974262174292301E-3</v>
      </c>
      <c r="K24" s="52">
        <f t="shared" si="2"/>
        <v>8.8395701001559943E-3</v>
      </c>
      <c r="L24" s="52">
        <f t="shared" si="2"/>
        <v>4.0961737934549082E-2</v>
      </c>
      <c r="M24" s="52">
        <f t="shared" si="2"/>
        <v>1.189101373704545E-2</v>
      </c>
      <c r="N24" s="52">
        <f t="shared" si="2"/>
        <v>0</v>
      </c>
      <c r="O24" s="52">
        <f t="shared" si="2"/>
        <v>0</v>
      </c>
      <c r="P24" s="52">
        <f t="shared" si="2"/>
        <v>0</v>
      </c>
      <c r="Q24" s="52">
        <f t="shared" si="2"/>
        <v>0</v>
      </c>
      <c r="R24" s="52">
        <f t="shared" si="2"/>
        <v>0</v>
      </c>
      <c r="S24" s="52">
        <f t="shared" si="2"/>
        <v>0</v>
      </c>
      <c r="U24" s="52">
        <f>U22/U13</f>
        <v>8.1971712965226828E-3</v>
      </c>
    </row>
  </sheetData>
  <mergeCells count="7">
    <mergeCell ref="B22:C22"/>
    <mergeCell ref="B24:C24"/>
    <mergeCell ref="E8:F8"/>
    <mergeCell ref="B10:C10"/>
    <mergeCell ref="B13:C13"/>
    <mergeCell ref="E17:F17"/>
    <mergeCell ref="B19:C1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U24"/>
  <sheetViews>
    <sheetView showGridLines="0" topLeftCell="A3" zoomScaleNormal="100" workbookViewId="0">
      <selection activeCell="L17" sqref="L17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79</v>
      </c>
      <c r="D3" s="23"/>
      <c r="E3" s="23"/>
      <c r="F3" s="23"/>
      <c r="U3" s="23"/>
    </row>
    <row r="4" spans="1:21" ht="13.5" customHeight="1" x14ac:dyDescent="0.3">
      <c r="B4" s="21"/>
      <c r="C4" s="51" t="s">
        <v>76</v>
      </c>
      <c r="D4" s="23"/>
      <c r="E4" s="23"/>
      <c r="F4" s="23"/>
      <c r="U4" s="23"/>
    </row>
    <row r="5" spans="1:21" ht="13.5" customHeight="1" x14ac:dyDescent="0.3">
      <c r="B5" s="21"/>
      <c r="C5" s="22"/>
      <c r="D5" s="23"/>
      <c r="E5" s="23"/>
      <c r="F5" s="23"/>
      <c r="U5" s="23"/>
    </row>
    <row r="6" spans="1:21" ht="13.5" customHeight="1" x14ac:dyDescent="0.3">
      <c r="B6" s="81" t="s">
        <v>56</v>
      </c>
      <c r="C6" s="22"/>
      <c r="D6" s="23"/>
      <c r="E6" s="23"/>
      <c r="F6" s="23"/>
      <c r="U6" s="23"/>
    </row>
    <row r="7" spans="1:21" ht="13.5" customHeight="1" x14ac:dyDescent="0.3">
      <c r="B7" s="21"/>
      <c r="C7" s="22"/>
      <c r="D7" s="23"/>
      <c r="E7" s="23"/>
      <c r="F7" s="23"/>
      <c r="U7" s="23"/>
    </row>
    <row r="8" spans="1:21" ht="23.4" x14ac:dyDescent="0.45">
      <c r="A8" s="21"/>
      <c r="B8" s="66"/>
      <c r="C8" s="67" t="s">
        <v>45</v>
      </c>
      <c r="E8" s="107" t="s">
        <v>46</v>
      </c>
      <c r="F8" s="107"/>
      <c r="G8" s="67">
        <f>'[1]Rateio UFV - Faturamento (R$)'!G82</f>
        <v>-1469.9317635072</v>
      </c>
      <c r="H8" s="67">
        <v>3053</v>
      </c>
      <c r="I8" s="67">
        <v>4267</v>
      </c>
      <c r="J8" s="67">
        <v>4161</v>
      </c>
      <c r="K8" s="67">
        <v>4347</v>
      </c>
      <c r="L8" s="67">
        <v>3732</v>
      </c>
      <c r="M8" s="67">
        <v>3116</v>
      </c>
      <c r="N8" s="67">
        <v>2525</v>
      </c>
      <c r="O8" s="67">
        <v>2413</v>
      </c>
      <c r="P8" s="67">
        <v>2641</v>
      </c>
      <c r="Q8" s="67">
        <v>2979</v>
      </c>
      <c r="R8" s="67">
        <v>3437</v>
      </c>
      <c r="S8" s="67">
        <v>3268</v>
      </c>
    </row>
    <row r="9" spans="1:21" ht="12" customHeight="1" x14ac:dyDescent="0.45">
      <c r="A9" s="21"/>
      <c r="B9" s="66"/>
      <c r="C9" s="68"/>
    </row>
    <row r="10" spans="1:21" ht="14.25" customHeight="1" x14ac:dyDescent="0.3">
      <c r="A10" s="21"/>
      <c r="B10" s="108" t="s">
        <v>47</v>
      </c>
      <c r="C10" s="108"/>
      <c r="D10" s="69" t="s">
        <v>48</v>
      </c>
      <c r="E10" s="69" t="s">
        <v>17</v>
      </c>
      <c r="F10" s="69" t="s">
        <v>18</v>
      </c>
      <c r="G10" s="69" t="s">
        <v>49</v>
      </c>
      <c r="H10" s="70">
        <v>46023</v>
      </c>
      <c r="I10" s="70">
        <v>46054</v>
      </c>
      <c r="J10" s="70">
        <v>46082</v>
      </c>
      <c r="K10" s="70">
        <v>46113</v>
      </c>
      <c r="L10" s="70">
        <v>46143</v>
      </c>
      <c r="M10" s="70">
        <v>46174</v>
      </c>
      <c r="N10" s="70">
        <v>46204</v>
      </c>
      <c r="O10" s="70">
        <v>46235</v>
      </c>
      <c r="P10" s="70">
        <v>46266</v>
      </c>
      <c r="Q10" s="70">
        <v>46296</v>
      </c>
      <c r="R10" s="70">
        <v>46327</v>
      </c>
      <c r="S10" s="70">
        <v>46357</v>
      </c>
      <c r="U10" s="70" t="s">
        <v>10</v>
      </c>
    </row>
    <row r="11" spans="1:21" ht="14.25" customHeight="1" x14ac:dyDescent="0.3">
      <c r="A11" s="21"/>
      <c r="B11" s="21"/>
      <c r="C11" s="77" t="s">
        <v>50</v>
      </c>
      <c r="D11" s="34"/>
      <c r="E11" s="34"/>
      <c r="F11" s="42"/>
      <c r="G11" s="44"/>
      <c r="H11" s="38">
        <v>3419.36</v>
      </c>
      <c r="I11" s="38">
        <v>4779.04</v>
      </c>
      <c r="J11" s="38">
        <v>4660.32</v>
      </c>
      <c r="K11" s="79">
        <v>4868.6400000000003</v>
      </c>
      <c r="L11" s="79">
        <v>4179.84</v>
      </c>
      <c r="M11" s="79">
        <v>3489.92</v>
      </c>
      <c r="N11" s="79">
        <v>2828</v>
      </c>
      <c r="O11" s="79">
        <v>2702.56</v>
      </c>
      <c r="P11" s="79">
        <v>2957.92</v>
      </c>
      <c r="Q11" s="79">
        <v>3336.48</v>
      </c>
      <c r="R11" s="79">
        <v>3849.44</v>
      </c>
      <c r="S11" s="79">
        <v>3660.16</v>
      </c>
      <c r="U11" s="40">
        <f>SUM(H11:S11)</f>
        <v>44731.680000000008</v>
      </c>
    </row>
    <row r="12" spans="1:21" ht="14.25" customHeight="1" x14ac:dyDescent="0.3">
      <c r="A12" s="21"/>
      <c r="B12" s="21"/>
      <c r="C12" s="77" t="s">
        <v>52</v>
      </c>
      <c r="D12" s="78"/>
      <c r="E12" s="78"/>
      <c r="F12" s="43"/>
      <c r="G12" s="46"/>
      <c r="H12" s="38">
        <v>2341.3303306637999</v>
      </c>
      <c r="I12" s="38">
        <v>2321.0287563339002</v>
      </c>
      <c r="J12" s="38">
        <v>2332.5802221716999</v>
      </c>
      <c r="K12" s="79">
        <v>2336.3666299593001</v>
      </c>
      <c r="L12" s="79">
        <v>2304.1506359988002</v>
      </c>
      <c r="M12" s="79">
        <v>2253.9522809268001</v>
      </c>
      <c r="N12" s="79">
        <v>2309.7348954126001</v>
      </c>
      <c r="O12" s="79">
        <v>2346.8924999999999</v>
      </c>
      <c r="P12" s="79">
        <v>2279.9749913126998</v>
      </c>
      <c r="Q12" s="79">
        <v>2415.3944999999999</v>
      </c>
      <c r="R12" s="79">
        <v>2477.9549999999999</v>
      </c>
      <c r="S12" s="79">
        <v>2411.5500000000002</v>
      </c>
      <c r="U12" s="40">
        <f>SUM(H12:S12)</f>
        <v>28130.910742779601</v>
      </c>
    </row>
    <row r="13" spans="1:21" ht="14.25" customHeight="1" x14ac:dyDescent="0.3">
      <c r="B13" s="106" t="s">
        <v>30</v>
      </c>
      <c r="C13" s="106"/>
      <c r="D13" s="72"/>
      <c r="E13" s="72"/>
      <c r="F13" s="73"/>
      <c r="G13" s="73"/>
      <c r="H13" s="74">
        <f t="shared" ref="H13:S13" si="0">SUM(H11:H12)</f>
        <v>5760.6903306637996</v>
      </c>
      <c r="I13" s="74">
        <f t="shared" si="0"/>
        <v>7100.0687563338997</v>
      </c>
      <c r="J13" s="74">
        <f t="shared" si="0"/>
        <v>6992.9002221717001</v>
      </c>
      <c r="K13" s="74">
        <f t="shared" si="0"/>
        <v>7205.0066299593</v>
      </c>
      <c r="L13" s="74">
        <f t="shared" si="0"/>
        <v>6483.9906359987999</v>
      </c>
      <c r="M13" s="74">
        <f t="shared" si="0"/>
        <v>5743.8722809268002</v>
      </c>
      <c r="N13" s="74">
        <f t="shared" si="0"/>
        <v>5137.7348954126001</v>
      </c>
      <c r="O13" s="74">
        <f t="shared" si="0"/>
        <v>5049.4524999999994</v>
      </c>
      <c r="P13" s="74">
        <f t="shared" si="0"/>
        <v>5237.8949913126999</v>
      </c>
      <c r="Q13" s="74">
        <f t="shared" si="0"/>
        <v>5751.8744999999999</v>
      </c>
      <c r="R13" s="74">
        <f t="shared" si="0"/>
        <v>6327.3950000000004</v>
      </c>
      <c r="S13" s="74">
        <f t="shared" si="0"/>
        <v>6071.71</v>
      </c>
      <c r="U13" s="74">
        <f>SUM(U11:U12)*-1</f>
        <v>-72862.590742779605</v>
      </c>
    </row>
    <row r="15" spans="1:21" ht="14.25" customHeight="1" x14ac:dyDescent="0.3">
      <c r="B15" s="81" t="s">
        <v>4</v>
      </c>
    </row>
    <row r="17" spans="2:21" ht="23.25" customHeight="1" x14ac:dyDescent="0.45">
      <c r="B17" s="66"/>
      <c r="C17" s="67" t="s">
        <v>45</v>
      </c>
      <c r="E17" s="107" t="s">
        <v>46</v>
      </c>
      <c r="F17" s="107"/>
      <c r="G17" s="67">
        <f>'[1]Rateio UFV - Faturamento (R$)'!G89</f>
        <v>0</v>
      </c>
      <c r="H17" s="67">
        <v>2963</v>
      </c>
      <c r="I17" s="67">
        <v>3589</v>
      </c>
      <c r="J17" s="67">
        <v>3739</v>
      </c>
      <c r="K17" s="67">
        <f>3183.05+638.95</f>
        <v>3822</v>
      </c>
      <c r="L17" s="67">
        <v>3368</v>
      </c>
      <c r="M17" s="67"/>
      <c r="N17" s="67"/>
      <c r="O17" s="67"/>
      <c r="P17" s="67"/>
      <c r="Q17" s="67"/>
      <c r="R17" s="67"/>
      <c r="S17" s="67"/>
    </row>
    <row r="18" spans="2:21" ht="14.25" customHeight="1" x14ac:dyDescent="0.45">
      <c r="B18" s="66"/>
      <c r="C18" s="68"/>
    </row>
    <row r="19" spans="2:21" ht="14.25" customHeight="1" x14ac:dyDescent="0.3">
      <c r="B19" s="108" t="s">
        <v>47</v>
      </c>
      <c r="C19" s="108"/>
      <c r="D19" s="69" t="s">
        <v>48</v>
      </c>
      <c r="E19" s="69" t="s">
        <v>17</v>
      </c>
      <c r="F19" s="69" t="s">
        <v>18</v>
      </c>
      <c r="G19" s="69" t="s">
        <v>49</v>
      </c>
      <c r="H19" s="70">
        <v>46023</v>
      </c>
      <c r="I19" s="70">
        <v>46054</v>
      </c>
      <c r="J19" s="70">
        <v>46082</v>
      </c>
      <c r="K19" s="70">
        <v>46113</v>
      </c>
      <c r="L19" s="70">
        <v>46143</v>
      </c>
      <c r="M19" s="70">
        <v>46174</v>
      </c>
      <c r="N19" s="70">
        <v>46204</v>
      </c>
      <c r="O19" s="70">
        <v>46235</v>
      </c>
      <c r="P19" s="70">
        <v>46266</v>
      </c>
      <c r="Q19" s="70">
        <v>46296</v>
      </c>
      <c r="R19" s="70">
        <v>46327</v>
      </c>
      <c r="S19" s="70">
        <v>46357</v>
      </c>
      <c r="U19" s="70" t="s">
        <v>10</v>
      </c>
    </row>
    <row r="20" spans="2:21" ht="14.25" customHeight="1" x14ac:dyDescent="0.3">
      <c r="B20" s="21"/>
      <c r="C20" s="77" t="s">
        <v>50</v>
      </c>
      <c r="D20" s="34">
        <f>'[1]Rateio UFV - Faturamento (R$)'!H88</f>
        <v>0</v>
      </c>
      <c r="E20" s="34" t="s">
        <v>28</v>
      </c>
      <c r="F20" s="42" t="s">
        <v>29</v>
      </c>
      <c r="G20" s="44" t="e">
        <f>D20*(1+#REF!)</f>
        <v>#REF!</v>
      </c>
      <c r="H20" s="38">
        <v>135.1</v>
      </c>
      <c r="I20" s="38">
        <v>132.81</v>
      </c>
      <c r="J20" s="38">
        <v>132.31</v>
      </c>
      <c r="K20" s="80">
        <v>4134.38</v>
      </c>
      <c r="L20" s="80">
        <v>4545.38</v>
      </c>
      <c r="M20" s="80"/>
      <c r="N20" s="80"/>
      <c r="O20" s="80"/>
      <c r="P20" s="80"/>
      <c r="Q20" s="80"/>
      <c r="R20" s="80"/>
      <c r="S20" s="80"/>
      <c r="U20" s="40">
        <f>SUM(H20:S20)</f>
        <v>9079.98</v>
      </c>
    </row>
    <row r="21" spans="2:21" ht="14.25" customHeight="1" x14ac:dyDescent="0.3">
      <c r="C21" s="85" t="s">
        <v>52</v>
      </c>
      <c r="D21" s="78"/>
      <c r="E21" s="78"/>
      <c r="F21" s="43"/>
      <c r="G21" s="46"/>
      <c r="H21" s="38">
        <v>0</v>
      </c>
      <c r="I21" s="38">
        <v>0</v>
      </c>
      <c r="J21" s="38"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U21" s="40">
        <f>SUM(H21:S21)</f>
        <v>0</v>
      </c>
    </row>
    <row r="22" spans="2:21" ht="14.25" customHeight="1" x14ac:dyDescent="0.3">
      <c r="B22" s="106" t="s">
        <v>30</v>
      </c>
      <c r="C22" s="106"/>
      <c r="D22" s="72"/>
      <c r="E22" s="72"/>
      <c r="F22" s="73"/>
      <c r="G22" s="73"/>
      <c r="H22" s="74">
        <f t="shared" ref="H22:S22" si="1">SUM(H20:H21)</f>
        <v>135.1</v>
      </c>
      <c r="I22" s="74">
        <f t="shared" si="1"/>
        <v>132.81</v>
      </c>
      <c r="J22" s="74">
        <f t="shared" si="1"/>
        <v>132.31</v>
      </c>
      <c r="K22" s="74">
        <f t="shared" si="1"/>
        <v>4134.38</v>
      </c>
      <c r="L22" s="74">
        <f t="shared" si="1"/>
        <v>4545.38</v>
      </c>
      <c r="M22" s="74">
        <f t="shared" si="1"/>
        <v>0</v>
      </c>
      <c r="N22" s="74">
        <f t="shared" si="1"/>
        <v>0</v>
      </c>
      <c r="O22" s="74">
        <f t="shared" si="1"/>
        <v>0</v>
      </c>
      <c r="P22" s="74">
        <f t="shared" si="1"/>
        <v>0</v>
      </c>
      <c r="Q22" s="74">
        <f t="shared" si="1"/>
        <v>0</v>
      </c>
      <c r="R22" s="74">
        <f t="shared" si="1"/>
        <v>0</v>
      </c>
      <c r="S22" s="74">
        <f t="shared" si="1"/>
        <v>0</v>
      </c>
      <c r="U22" s="74">
        <f>SUM(U20:U21)*-1</f>
        <v>-9079.98</v>
      </c>
    </row>
    <row r="24" spans="2:21" ht="14.4" x14ac:dyDescent="0.3">
      <c r="B24" s="99" t="s">
        <v>34</v>
      </c>
      <c r="C24" s="99"/>
      <c r="H24" s="52">
        <f t="shared" ref="H24:S24" si="2">H22/H13</f>
        <v>2.3452050404596653E-2</v>
      </c>
      <c r="I24" s="52">
        <f t="shared" si="2"/>
        <v>1.8705452659387493E-2</v>
      </c>
      <c r="J24" s="52">
        <f t="shared" si="2"/>
        <v>1.8920618884350402E-2</v>
      </c>
      <c r="K24" s="52">
        <f t="shared" si="2"/>
        <v>0.57382042964523328</v>
      </c>
      <c r="L24" s="52">
        <f t="shared" si="2"/>
        <v>0.70101581806183866</v>
      </c>
      <c r="M24" s="52">
        <f t="shared" si="2"/>
        <v>0</v>
      </c>
      <c r="N24" s="52">
        <f t="shared" si="2"/>
        <v>0</v>
      </c>
      <c r="O24" s="52">
        <f t="shared" si="2"/>
        <v>0</v>
      </c>
      <c r="P24" s="52">
        <f t="shared" si="2"/>
        <v>0</v>
      </c>
      <c r="Q24" s="52">
        <f t="shared" si="2"/>
        <v>0</v>
      </c>
      <c r="R24" s="52">
        <f t="shared" si="2"/>
        <v>0</v>
      </c>
      <c r="S24" s="52">
        <f t="shared" si="2"/>
        <v>0</v>
      </c>
      <c r="U24" s="52">
        <f>U22/U13</f>
        <v>0.12461785818259269</v>
      </c>
    </row>
  </sheetData>
  <mergeCells count="7">
    <mergeCell ref="B22:C22"/>
    <mergeCell ref="B24:C24"/>
    <mergeCell ref="E8:F8"/>
    <mergeCell ref="B10:C10"/>
    <mergeCell ref="B13:C13"/>
    <mergeCell ref="E17:F17"/>
    <mergeCell ref="B19:C1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U23"/>
  <sheetViews>
    <sheetView showGridLines="0" topLeftCell="A8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80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13088.4</v>
      </c>
      <c r="I7" s="67">
        <v>17082</v>
      </c>
      <c r="J7" s="67">
        <v>19122</v>
      </c>
      <c r="K7" s="67">
        <v>23091.599999999999</v>
      </c>
      <c r="L7" s="67">
        <v>23463.599999999999</v>
      </c>
      <c r="M7" s="67">
        <v>18952.8</v>
      </c>
      <c r="N7" s="67">
        <v>14484</v>
      </c>
      <c r="O7" s="67">
        <v>13395.6</v>
      </c>
      <c r="P7" s="67">
        <v>13906.8</v>
      </c>
      <c r="Q7" s="67">
        <v>12304</v>
      </c>
      <c r="R7" s="67">
        <v>15400</v>
      </c>
      <c r="S7" s="67">
        <v>13268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15706.08</v>
      </c>
      <c r="I10" s="38">
        <v>20498.400000000001</v>
      </c>
      <c r="J10" s="38">
        <v>22946.400000000001</v>
      </c>
      <c r="K10" s="79">
        <v>27709.919999999998</v>
      </c>
      <c r="L10" s="79">
        <v>28156.32</v>
      </c>
      <c r="M10" s="79">
        <v>22743.360000000001</v>
      </c>
      <c r="N10" s="79">
        <v>17380.8</v>
      </c>
      <c r="O10" s="79">
        <v>16074.72</v>
      </c>
      <c r="P10" s="79">
        <v>16688.16</v>
      </c>
      <c r="Q10" s="79">
        <v>14764.8</v>
      </c>
      <c r="R10" s="79">
        <v>18480</v>
      </c>
      <c r="S10" s="79">
        <v>15921.6</v>
      </c>
      <c r="U10" s="40">
        <f>SUM(H10:S10)</f>
        <v>237070.55999999997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11234.3661359748</v>
      </c>
      <c r="I11" s="38">
        <v>11136.9534316794</v>
      </c>
      <c r="J11" s="38">
        <v>11192.380636858201</v>
      </c>
      <c r="K11" s="79">
        <v>11210.5488939678</v>
      </c>
      <c r="L11" s="79">
        <v>11055.9674293848</v>
      </c>
      <c r="M11" s="79">
        <v>10815.1015024728</v>
      </c>
      <c r="N11" s="79">
        <v>11082.762287859599</v>
      </c>
      <c r="O11" s="79">
        <v>11261.055</v>
      </c>
      <c r="P11" s="79">
        <v>10939.9658381442</v>
      </c>
      <c r="Q11" s="79">
        <v>11589.746999999999</v>
      </c>
      <c r="R11" s="79">
        <v>11889.93</v>
      </c>
      <c r="S11" s="79">
        <v>11571.3</v>
      </c>
      <c r="U11" s="40">
        <f>SUM(H11:S11)</f>
        <v>134980.07815634159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26940.446135974802</v>
      </c>
      <c r="I12" s="74">
        <f t="shared" si="0"/>
        <v>31635.353431679403</v>
      </c>
      <c r="J12" s="74">
        <f t="shared" si="0"/>
        <v>34138.780636858202</v>
      </c>
      <c r="K12" s="74">
        <f t="shared" si="0"/>
        <v>38920.468893967802</v>
      </c>
      <c r="L12" s="74">
        <f t="shared" si="0"/>
        <v>39212.2874293848</v>
      </c>
      <c r="M12" s="74">
        <f t="shared" si="0"/>
        <v>33558.461502472797</v>
      </c>
      <c r="N12" s="74">
        <f t="shared" si="0"/>
        <v>28463.562287859597</v>
      </c>
      <c r="O12" s="74">
        <f t="shared" si="0"/>
        <v>27335.775000000001</v>
      </c>
      <c r="P12" s="74">
        <f t="shared" si="0"/>
        <v>27628.125838144202</v>
      </c>
      <c r="Q12" s="74">
        <f t="shared" si="0"/>
        <v>26354.546999999999</v>
      </c>
      <c r="R12" s="74">
        <f t="shared" si="0"/>
        <v>30369.93</v>
      </c>
      <c r="S12" s="74">
        <f t="shared" si="0"/>
        <v>27492.9</v>
      </c>
      <c r="U12" s="74">
        <f>SUM(U10:U11)*-1</f>
        <v>-372050.63815634156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2919.71+17848.69</f>
        <v>20768.399999999998</v>
      </c>
      <c r="I16" s="67">
        <v>19490.400000000001</v>
      </c>
      <c r="J16" s="67">
        <v>16702</v>
      </c>
      <c r="K16" s="67">
        <f>12497.01+5378.19</f>
        <v>17875.2</v>
      </c>
      <c r="L16" s="67">
        <f>2971.38+13397.82</f>
        <v>16369.2</v>
      </c>
      <c r="M16" s="67">
        <f>1091.47+15222.53</f>
        <v>16314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0</v>
      </c>
      <c r="I19" s="38">
        <v>0</v>
      </c>
      <c r="J19" s="38">
        <v>0</v>
      </c>
      <c r="K19" s="80">
        <v>4574.18</v>
      </c>
      <c r="L19" s="80">
        <v>4049.16</v>
      </c>
      <c r="M19" s="80">
        <v>1831.37</v>
      </c>
      <c r="N19" s="80"/>
      <c r="O19" s="80"/>
      <c r="P19" s="80"/>
      <c r="Q19" s="80"/>
      <c r="R19" s="80"/>
      <c r="S19" s="80"/>
      <c r="U19" s="40">
        <f>SUM(H19:S19)</f>
        <v>10454.709999999999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11927.819443</v>
      </c>
      <c r="I20" s="38">
        <v>11927.819443</v>
      </c>
      <c r="J20" s="38">
        <v>11927.819443</v>
      </c>
      <c r="K20" s="80"/>
      <c r="L20" s="80">
        <v>25017.207055999999</v>
      </c>
      <c r="M20" s="80">
        <v>12508.603528</v>
      </c>
      <c r="N20" s="80"/>
      <c r="O20" s="80"/>
      <c r="P20" s="80"/>
      <c r="Q20" s="80"/>
      <c r="R20" s="80"/>
      <c r="S20" s="80"/>
      <c r="U20" s="40">
        <f>SUM(H20:S20)</f>
        <v>73309.268913000007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11927.819443</v>
      </c>
      <c r="I21" s="74">
        <f t="shared" si="1"/>
        <v>11927.819443</v>
      </c>
      <c r="J21" s="74">
        <f t="shared" si="1"/>
        <v>11927.819443</v>
      </c>
      <c r="K21" s="74">
        <f t="shared" si="1"/>
        <v>4574.18</v>
      </c>
      <c r="L21" s="74">
        <f t="shared" si="1"/>
        <v>29066.367055999999</v>
      </c>
      <c r="M21" s="74">
        <f t="shared" si="1"/>
        <v>14339.973527999999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-83763.978912999999</v>
      </c>
    </row>
    <row r="23" spans="2:21" ht="14.4" x14ac:dyDescent="0.3">
      <c r="B23" s="99" t="s">
        <v>34</v>
      </c>
      <c r="C23" s="99"/>
      <c r="H23" s="52">
        <f t="shared" ref="H23:S23" si="2">H21/H12</f>
        <v>0.44274765840170111</v>
      </c>
      <c r="I23" s="52">
        <f t="shared" si="2"/>
        <v>0.37704081507291054</v>
      </c>
      <c r="J23" s="52">
        <f t="shared" si="2"/>
        <v>0.34939207612242706</v>
      </c>
      <c r="K23" s="52">
        <f t="shared" si="2"/>
        <v>0.11752633331478035</v>
      </c>
      <c r="L23" s="52">
        <f t="shared" si="2"/>
        <v>0.7412566050461602</v>
      </c>
      <c r="M23" s="52">
        <f t="shared" si="2"/>
        <v>0.42731319869784079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0.22514133916846302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U23"/>
  <sheetViews>
    <sheetView showGridLines="0" topLeftCell="A6" zoomScaleNormal="100" workbookViewId="0">
      <selection activeCell="L20" sqref="L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81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4283</v>
      </c>
      <c r="I7" s="67">
        <v>6069</v>
      </c>
      <c r="J7" s="67">
        <v>4918</v>
      </c>
      <c r="K7" s="67">
        <v>5311</v>
      </c>
      <c r="L7" s="67">
        <v>4550</v>
      </c>
      <c r="M7" s="67">
        <v>3798</v>
      </c>
      <c r="N7" s="67">
        <v>3598</v>
      </c>
      <c r="O7" s="67">
        <v>4259</v>
      </c>
      <c r="P7" s="67">
        <v>3882</v>
      </c>
      <c r="Q7" s="67">
        <v>4243</v>
      </c>
      <c r="R7" s="67">
        <v>5402</v>
      </c>
      <c r="S7" s="67">
        <v>5402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5396.58</v>
      </c>
      <c r="I10" s="38">
        <v>7646.94</v>
      </c>
      <c r="J10" s="38">
        <v>6196.68</v>
      </c>
      <c r="K10" s="79">
        <v>6691.86</v>
      </c>
      <c r="L10" s="79">
        <v>5733</v>
      </c>
      <c r="M10" s="79">
        <v>4785.4799999999996</v>
      </c>
      <c r="N10" s="79">
        <v>4533.4799999999996</v>
      </c>
      <c r="O10" s="79">
        <v>5366.34</v>
      </c>
      <c r="P10" s="79">
        <v>4891.32</v>
      </c>
      <c r="Q10" s="79">
        <v>5346.18</v>
      </c>
      <c r="R10" s="79">
        <v>6806.52</v>
      </c>
      <c r="S10" s="79">
        <v>6806.52</v>
      </c>
      <c r="U10" s="40">
        <f>SUM(H10:S10)</f>
        <v>70200.900000000009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3590.7097488864001</v>
      </c>
      <c r="I11" s="38">
        <v>3559.5748594992001</v>
      </c>
      <c r="J11" s="38">
        <v>3577.2904122576001</v>
      </c>
      <c r="K11" s="79">
        <v>3583.0973209104</v>
      </c>
      <c r="L11" s="79">
        <v>3533.6902457664</v>
      </c>
      <c r="M11" s="79">
        <v>3456.7050717503998</v>
      </c>
      <c r="N11" s="79">
        <v>3542.2543746527999</v>
      </c>
      <c r="O11" s="79">
        <v>3599.24</v>
      </c>
      <c r="P11" s="79">
        <v>3496.6140067055999</v>
      </c>
      <c r="Q11" s="79">
        <v>3704.2959999999998</v>
      </c>
      <c r="R11" s="79">
        <v>3800.24</v>
      </c>
      <c r="S11" s="79">
        <v>3698.4</v>
      </c>
      <c r="U11" s="40">
        <f>SUM(H11:S11)</f>
        <v>43142.112040428794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8987.2897488864</v>
      </c>
      <c r="I12" s="74">
        <f t="shared" si="0"/>
        <v>11206.514859499199</v>
      </c>
      <c r="J12" s="74">
        <f t="shared" si="0"/>
        <v>9773.9704122576004</v>
      </c>
      <c r="K12" s="74">
        <f t="shared" si="0"/>
        <v>10274.9573209104</v>
      </c>
      <c r="L12" s="74">
        <f t="shared" si="0"/>
        <v>9266.6902457664</v>
      </c>
      <c r="M12" s="74">
        <f t="shared" si="0"/>
        <v>8242.1850717503985</v>
      </c>
      <c r="N12" s="74">
        <f t="shared" si="0"/>
        <v>8075.7343746527995</v>
      </c>
      <c r="O12" s="74">
        <f t="shared" si="0"/>
        <v>8965.58</v>
      </c>
      <c r="P12" s="74">
        <f t="shared" si="0"/>
        <v>8387.9340067056</v>
      </c>
      <c r="Q12" s="74">
        <f t="shared" si="0"/>
        <v>9050.4760000000006</v>
      </c>
      <c r="R12" s="74">
        <f t="shared" si="0"/>
        <v>10606.76</v>
      </c>
      <c r="S12" s="74">
        <f t="shared" si="0"/>
        <v>10504.92</v>
      </c>
      <c r="U12" s="74">
        <f>SUM(U10:U11)*-1</f>
        <v>-113343.0120404288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4846+100</f>
        <v>4946</v>
      </c>
      <c r="I16" s="67">
        <v>5640</v>
      </c>
      <c r="J16" s="67">
        <v>5825</v>
      </c>
      <c r="K16" s="67">
        <v>141</v>
      </c>
      <c r="L16" s="67">
        <v>10975</v>
      </c>
      <c r="M16" s="67">
        <v>3767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134.74</v>
      </c>
      <c r="I19" s="38">
        <v>132.81</v>
      </c>
      <c r="J19" s="38">
        <v>119.67</v>
      </c>
      <c r="K19" s="80">
        <v>133.25</v>
      </c>
      <c r="L19" s="80">
        <v>141.13999999999999</v>
      </c>
      <c r="M19" s="80">
        <v>142.91</v>
      </c>
      <c r="N19" s="80"/>
      <c r="O19" s="80"/>
      <c r="P19" s="80"/>
      <c r="Q19" s="80"/>
      <c r="R19" s="80"/>
      <c r="S19" s="80"/>
      <c r="U19" s="40">
        <f>SUM(H19:S19)</f>
        <v>804.52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3180.5055870000001</v>
      </c>
      <c r="I20" s="38">
        <v>3180.5055870000001</v>
      </c>
      <c r="J20" s="38">
        <v>3180.5055870000001</v>
      </c>
      <c r="K20" s="80"/>
      <c r="L20" s="80">
        <v>6670.7387040000003</v>
      </c>
      <c r="M20" s="80">
        <v>3335.3693520000002</v>
      </c>
      <c r="N20" s="80"/>
      <c r="O20" s="80"/>
      <c r="P20" s="80"/>
      <c r="Q20" s="80"/>
      <c r="R20" s="80"/>
      <c r="S20" s="80"/>
      <c r="U20" s="40">
        <f>SUM(H20:S20)</f>
        <v>19547.624817000004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3315.2455870000003</v>
      </c>
      <c r="I21" s="74">
        <f t="shared" si="1"/>
        <v>3313.3155870000001</v>
      </c>
      <c r="J21" s="74">
        <f t="shared" si="1"/>
        <v>3300.1755870000002</v>
      </c>
      <c r="K21" s="74">
        <f t="shared" si="1"/>
        <v>133.25</v>
      </c>
      <c r="L21" s="74">
        <f t="shared" si="1"/>
        <v>6811.8787040000007</v>
      </c>
      <c r="M21" s="74">
        <f t="shared" si="1"/>
        <v>3478.279352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-20352.144817000004</v>
      </c>
    </row>
    <row r="23" spans="2:21" ht="14.4" x14ac:dyDescent="0.3">
      <c r="B23" s="99" t="s">
        <v>34</v>
      </c>
      <c r="C23" s="99"/>
      <c r="H23" s="52">
        <f t="shared" ref="H23:S23" si="2">H21/H12</f>
        <v>0.36888157382605663</v>
      </c>
      <c r="I23" s="52">
        <f t="shared" si="2"/>
        <v>0.29565976831695084</v>
      </c>
      <c r="J23" s="52">
        <f t="shared" si="2"/>
        <v>0.33764943495851268</v>
      </c>
      <c r="K23" s="52">
        <f t="shared" si="2"/>
        <v>1.2968423696400673E-2</v>
      </c>
      <c r="L23" s="52">
        <f t="shared" si="2"/>
        <v>0.73509295372337391</v>
      </c>
      <c r="M23" s="52">
        <f t="shared" si="2"/>
        <v>0.42200937272345374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0.17956241369111059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U23"/>
  <sheetViews>
    <sheetView showGridLines="0" topLeftCell="A3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82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5697</v>
      </c>
      <c r="I7" s="67">
        <v>7154</v>
      </c>
      <c r="J7" s="67">
        <v>6672</v>
      </c>
      <c r="K7" s="67">
        <v>6288</v>
      </c>
      <c r="L7" s="67">
        <v>5429</v>
      </c>
      <c r="M7" s="67">
        <v>5337</v>
      </c>
      <c r="N7" s="67">
        <v>3917</v>
      </c>
      <c r="O7" s="67">
        <v>4144</v>
      </c>
      <c r="P7" s="67">
        <v>4481</v>
      </c>
      <c r="Q7" s="67">
        <v>4812</v>
      </c>
      <c r="R7" s="67">
        <v>6482</v>
      </c>
      <c r="S7" s="67">
        <v>5864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7121.25</v>
      </c>
      <c r="I10" s="38">
        <v>8942.5</v>
      </c>
      <c r="J10" s="38">
        <v>8340</v>
      </c>
      <c r="K10" s="79">
        <v>7860</v>
      </c>
      <c r="L10" s="79">
        <v>6786.25</v>
      </c>
      <c r="M10" s="79">
        <v>6671.25</v>
      </c>
      <c r="N10" s="79">
        <v>4896.25</v>
      </c>
      <c r="O10" s="79">
        <v>5180</v>
      </c>
      <c r="P10" s="79">
        <v>5601.25</v>
      </c>
      <c r="Q10" s="79">
        <v>6015</v>
      </c>
      <c r="R10" s="79">
        <v>8102.5</v>
      </c>
      <c r="S10" s="79">
        <v>7330</v>
      </c>
      <c r="U10" s="40">
        <f>SUM(H10:S10)</f>
        <v>82846.25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3915.6153884778</v>
      </c>
      <c r="I11" s="38">
        <v>3881.6632563008998</v>
      </c>
      <c r="J11" s="38">
        <v>3900.9818021727001</v>
      </c>
      <c r="K11" s="79">
        <v>3907.3141493882999</v>
      </c>
      <c r="L11" s="79">
        <v>3853.4364713628001</v>
      </c>
      <c r="M11" s="79">
        <v>3769.4852881308002</v>
      </c>
      <c r="N11" s="79">
        <v>3862.7755260906001</v>
      </c>
      <c r="O11" s="79">
        <v>3924.9175</v>
      </c>
      <c r="P11" s="79">
        <v>3813.0053860437001</v>
      </c>
      <c r="Q11" s="79">
        <v>4039.4794999999999</v>
      </c>
      <c r="R11" s="79">
        <v>4144.1049999999996</v>
      </c>
      <c r="S11" s="79">
        <v>4033.05</v>
      </c>
      <c r="U11" s="40">
        <f>SUM(H11:S11)</f>
        <v>47045.829267967609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11036.8653884778</v>
      </c>
      <c r="I12" s="74">
        <f t="shared" si="0"/>
        <v>12824.163256300901</v>
      </c>
      <c r="J12" s="74">
        <f t="shared" si="0"/>
        <v>12240.981802172701</v>
      </c>
      <c r="K12" s="74">
        <f t="shared" si="0"/>
        <v>11767.314149388299</v>
      </c>
      <c r="L12" s="74">
        <f t="shared" si="0"/>
        <v>10639.6864713628</v>
      </c>
      <c r="M12" s="74">
        <f t="shared" si="0"/>
        <v>10440.7352881308</v>
      </c>
      <c r="N12" s="74">
        <f t="shared" si="0"/>
        <v>8759.0255260905997</v>
      </c>
      <c r="O12" s="74">
        <f t="shared" si="0"/>
        <v>9104.9174999999996</v>
      </c>
      <c r="P12" s="74">
        <f t="shared" si="0"/>
        <v>9414.2553860437001</v>
      </c>
      <c r="Q12" s="74">
        <f t="shared" si="0"/>
        <v>10054.479499999999</v>
      </c>
      <c r="R12" s="74">
        <f t="shared" si="0"/>
        <v>12246.605</v>
      </c>
      <c r="S12" s="74">
        <f t="shared" si="0"/>
        <v>11363.05</v>
      </c>
      <c r="U12" s="74">
        <f>SUM(U10:U11)*-1</f>
        <v>-129892.07926796761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v>5773</v>
      </c>
      <c r="I16" s="67">
        <v>5716</v>
      </c>
      <c r="J16" s="67">
        <v>5574</v>
      </c>
      <c r="K16" s="67">
        <v>6061</v>
      </c>
      <c r="L16" s="67">
        <v>4468</v>
      </c>
      <c r="M16" s="67">
        <f>4139.09+353.91</f>
        <v>4493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135.41</v>
      </c>
      <c r="I19" s="38">
        <v>132.31</v>
      </c>
      <c r="J19" s="38">
        <v>132.31</v>
      </c>
      <c r="K19" s="80">
        <v>133.25</v>
      </c>
      <c r="L19" s="80">
        <v>138.56</v>
      </c>
      <c r="M19" s="80">
        <v>537.82000000000005</v>
      </c>
      <c r="N19" s="80"/>
      <c r="O19" s="80"/>
      <c r="P19" s="80"/>
      <c r="Q19" s="80"/>
      <c r="R19" s="80"/>
      <c r="S19" s="80"/>
      <c r="U19" s="40">
        <f>SUM(H19:S19)</f>
        <v>1209.6599999999999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3232.221125</v>
      </c>
      <c r="I20" s="38">
        <v>3232.221125</v>
      </c>
      <c r="J20" s="38">
        <v>3232.221125</v>
      </c>
      <c r="K20" s="80"/>
      <c r="L20" s="80">
        <v>6779.2060000000001</v>
      </c>
      <c r="M20" s="80">
        <v>3389.6030000000001</v>
      </c>
      <c r="N20" s="80"/>
      <c r="O20" s="80"/>
      <c r="P20" s="80"/>
      <c r="Q20" s="80"/>
      <c r="R20" s="80"/>
      <c r="S20" s="80"/>
      <c r="U20" s="40">
        <f>SUM(H20:S20)</f>
        <v>19865.472375000001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3367.6311249999999</v>
      </c>
      <c r="I21" s="74">
        <f t="shared" si="1"/>
        <v>3364.531125</v>
      </c>
      <c r="J21" s="74">
        <f t="shared" si="1"/>
        <v>3364.531125</v>
      </c>
      <c r="K21" s="74">
        <f t="shared" si="1"/>
        <v>133.25</v>
      </c>
      <c r="L21" s="74">
        <f t="shared" si="1"/>
        <v>6917.7660000000005</v>
      </c>
      <c r="M21" s="74">
        <f t="shared" si="1"/>
        <v>3927.4230000000002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-21075.132375000001</v>
      </c>
    </row>
    <row r="23" spans="2:21" ht="14.4" x14ac:dyDescent="0.3">
      <c r="B23" s="99" t="s">
        <v>34</v>
      </c>
      <c r="C23" s="99"/>
      <c r="H23" s="52">
        <f t="shared" ref="H23:S23" si="2">H21/H12</f>
        <v>0.30512568618583669</v>
      </c>
      <c r="I23" s="52">
        <f t="shared" si="2"/>
        <v>0.26235872530294746</v>
      </c>
      <c r="J23" s="52">
        <f t="shared" si="2"/>
        <v>0.27485794680315723</v>
      </c>
      <c r="K23" s="52">
        <f t="shared" si="2"/>
        <v>1.1323739496402137E-2</v>
      </c>
      <c r="L23" s="52">
        <f t="shared" si="2"/>
        <v>0.65018513643418741</v>
      </c>
      <c r="M23" s="52">
        <f t="shared" si="2"/>
        <v>0.37616344937552049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0.16225109717061317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U23"/>
  <sheetViews>
    <sheetView showGridLines="0" topLeftCell="A6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83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204</v>
      </c>
      <c r="I7" s="67">
        <v>255</v>
      </c>
      <c r="J7" s="67">
        <v>416</v>
      </c>
      <c r="K7" s="67">
        <v>459</v>
      </c>
      <c r="L7" s="67">
        <v>634</v>
      </c>
      <c r="M7" s="67">
        <v>607</v>
      </c>
      <c r="N7" s="67">
        <v>470</v>
      </c>
      <c r="O7" s="67">
        <v>591</v>
      </c>
      <c r="P7" s="67">
        <v>531</v>
      </c>
      <c r="Q7" s="67">
        <v>391</v>
      </c>
      <c r="R7" s="67">
        <v>483</v>
      </c>
      <c r="S7" s="67">
        <v>469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281.52</v>
      </c>
      <c r="I10" s="38">
        <v>351.9</v>
      </c>
      <c r="J10" s="38">
        <v>574.08000000000004</v>
      </c>
      <c r="K10" s="79">
        <v>633.41999999999996</v>
      </c>
      <c r="L10" s="79">
        <v>874.92</v>
      </c>
      <c r="M10" s="79">
        <v>837.66</v>
      </c>
      <c r="N10" s="79">
        <v>648.6</v>
      </c>
      <c r="O10" s="79">
        <v>815.58</v>
      </c>
      <c r="P10" s="79">
        <v>732.78</v>
      </c>
      <c r="Q10" s="79">
        <v>539.58000000000004</v>
      </c>
      <c r="R10" s="79">
        <v>666.54</v>
      </c>
      <c r="S10" s="79">
        <v>647.22</v>
      </c>
      <c r="U10" s="40">
        <f>SUM(H10:S10)</f>
        <v>7603.8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107.1853656384</v>
      </c>
      <c r="I11" s="38">
        <v>106.2559659552</v>
      </c>
      <c r="J11" s="38">
        <v>106.7847884256</v>
      </c>
      <c r="K11" s="79">
        <v>106.9581289824</v>
      </c>
      <c r="L11" s="79">
        <v>105.4832909184</v>
      </c>
      <c r="M11" s="79">
        <v>103.1852260224</v>
      </c>
      <c r="N11" s="79">
        <v>105.7389365568</v>
      </c>
      <c r="O11" s="79">
        <v>107.44</v>
      </c>
      <c r="P11" s="79">
        <v>104.3765375136</v>
      </c>
      <c r="Q11" s="79">
        <v>110.57599999999999</v>
      </c>
      <c r="R11" s="79">
        <v>113.44</v>
      </c>
      <c r="S11" s="79">
        <v>110.4</v>
      </c>
      <c r="U11" s="40">
        <f>SUM(H11:S11)</f>
        <v>1287.8242400128001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388.7053656384</v>
      </c>
      <c r="I12" s="74">
        <f t="shared" si="0"/>
        <v>458.15596595519997</v>
      </c>
      <c r="J12" s="74">
        <f t="shared" si="0"/>
        <v>680.86478842560007</v>
      </c>
      <c r="K12" s="74">
        <f t="shared" si="0"/>
        <v>740.37812898239997</v>
      </c>
      <c r="L12" s="74">
        <f t="shared" si="0"/>
        <v>980.40329091839999</v>
      </c>
      <c r="M12" s="74">
        <f t="shared" si="0"/>
        <v>940.84522602239997</v>
      </c>
      <c r="N12" s="74">
        <f t="shared" si="0"/>
        <v>754.33893655680004</v>
      </c>
      <c r="O12" s="74">
        <f t="shared" si="0"/>
        <v>923.02</v>
      </c>
      <c r="P12" s="74">
        <f t="shared" si="0"/>
        <v>837.15653751359991</v>
      </c>
      <c r="Q12" s="74">
        <f t="shared" si="0"/>
        <v>650.15600000000006</v>
      </c>
      <c r="R12" s="74">
        <f t="shared" si="0"/>
        <v>779.98</v>
      </c>
      <c r="S12" s="74">
        <f t="shared" si="0"/>
        <v>757.62</v>
      </c>
      <c r="U12" s="74">
        <f>SUM(U10:U11)*-1</f>
        <v>-8891.6242400127994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v>258</v>
      </c>
      <c r="I16" s="67">
        <f>49+203</f>
        <v>252</v>
      </c>
      <c r="J16" s="67">
        <v>540</v>
      </c>
      <c r="K16" s="67">
        <v>546</v>
      </c>
      <c r="L16" s="67">
        <v>560</v>
      </c>
      <c r="M16" s="67">
        <v>624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123.5</v>
      </c>
      <c r="I19" s="38">
        <v>121.43</v>
      </c>
      <c r="J19" s="38">
        <v>151.63</v>
      </c>
      <c r="K19" s="80">
        <v>154.61000000000001</v>
      </c>
      <c r="L19" s="80">
        <v>160.93</v>
      </c>
      <c r="M19" s="80">
        <v>177.35</v>
      </c>
      <c r="N19" s="80"/>
      <c r="O19" s="80"/>
      <c r="P19" s="80"/>
      <c r="Q19" s="80"/>
      <c r="R19" s="80"/>
      <c r="S19" s="80"/>
      <c r="U19" s="40">
        <f>SUM(H19:S19)</f>
        <v>889.45000000000016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55.409505000000003</v>
      </c>
      <c r="I20" s="38">
        <v>55.409505000000003</v>
      </c>
      <c r="J20" s="38">
        <v>55.409505000000003</v>
      </c>
      <c r="K20" s="80"/>
      <c r="L20" s="80">
        <v>116.21496</v>
      </c>
      <c r="M20" s="80">
        <v>58.107480000000002</v>
      </c>
      <c r="N20" s="80"/>
      <c r="O20" s="80"/>
      <c r="P20" s="80"/>
      <c r="Q20" s="80"/>
      <c r="R20" s="80"/>
      <c r="S20" s="80"/>
      <c r="U20" s="40">
        <f>SUM(H20:S20)</f>
        <v>340.55095500000004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178.909505</v>
      </c>
      <c r="I21" s="74">
        <f t="shared" si="1"/>
        <v>176.839505</v>
      </c>
      <c r="J21" s="74">
        <f t="shared" si="1"/>
        <v>207.03950499999999</v>
      </c>
      <c r="K21" s="74">
        <f t="shared" si="1"/>
        <v>154.61000000000001</v>
      </c>
      <c r="L21" s="74">
        <f t="shared" si="1"/>
        <v>277.14496000000003</v>
      </c>
      <c r="M21" s="74">
        <f t="shared" si="1"/>
        <v>235.45748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-1230.0009550000002</v>
      </c>
    </row>
    <row r="23" spans="2:21" ht="14.4" x14ac:dyDescent="0.3">
      <c r="B23" s="99" t="s">
        <v>34</v>
      </c>
      <c r="C23" s="99"/>
      <c r="H23" s="52">
        <f t="shared" ref="H23:S23" si="2">H21/H12</f>
        <v>0.46027022216727953</v>
      </c>
      <c r="I23" s="52">
        <f t="shared" si="2"/>
        <v>0.38598101550704672</v>
      </c>
      <c r="J23" s="52">
        <f t="shared" si="2"/>
        <v>0.30408314326071773</v>
      </c>
      <c r="K23" s="52">
        <f t="shared" si="2"/>
        <v>0.20882572559578588</v>
      </c>
      <c r="L23" s="52">
        <f t="shared" si="2"/>
        <v>0.28268464882485494</v>
      </c>
      <c r="M23" s="52">
        <f t="shared" si="2"/>
        <v>0.25026165142532608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0.13833253878013962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U23"/>
  <sheetViews>
    <sheetView showGridLines="0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84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1263.8499999999999</v>
      </c>
      <c r="I7" s="67">
        <v>2548.4</v>
      </c>
      <c r="J7" s="67">
        <v>2398.8000000000002</v>
      </c>
      <c r="K7" s="67">
        <v>2220.44</v>
      </c>
      <c r="L7" s="67">
        <v>2260</v>
      </c>
      <c r="M7" s="67">
        <v>1802.4</v>
      </c>
      <c r="N7" s="67">
        <v>1600</v>
      </c>
      <c r="O7" s="67">
        <v>1873.2</v>
      </c>
      <c r="P7" s="67">
        <v>2084.4</v>
      </c>
      <c r="Q7" s="67">
        <v>1504</v>
      </c>
      <c r="R7" s="67">
        <v>1948.77</v>
      </c>
      <c r="S7" s="67">
        <v>2017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1769.39</v>
      </c>
      <c r="I10" s="38">
        <v>3567.76</v>
      </c>
      <c r="J10" s="38">
        <v>3358.32</v>
      </c>
      <c r="K10" s="79">
        <v>3108.616</v>
      </c>
      <c r="L10" s="79">
        <v>3164</v>
      </c>
      <c r="M10" s="79">
        <v>2523.36</v>
      </c>
      <c r="N10" s="79">
        <v>2240</v>
      </c>
      <c r="O10" s="79">
        <v>2622.48</v>
      </c>
      <c r="P10" s="79">
        <v>2918.16</v>
      </c>
      <c r="Q10" s="79">
        <v>2105.6</v>
      </c>
      <c r="R10" s="79">
        <v>2728.2779999999998</v>
      </c>
      <c r="S10" s="79">
        <v>2823.8</v>
      </c>
      <c r="U10" s="40">
        <f>SUM(H10:S10)</f>
        <v>32929.763999999996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1061.8050283554001</v>
      </c>
      <c r="I11" s="38">
        <v>1052.5981627437</v>
      </c>
      <c r="J11" s="38">
        <v>1057.8368103411001</v>
      </c>
      <c r="K11" s="79">
        <v>1059.5539652319001</v>
      </c>
      <c r="L11" s="79">
        <v>1044.9438506603999</v>
      </c>
      <c r="M11" s="79">
        <v>1022.1786452844</v>
      </c>
      <c r="N11" s="79">
        <v>1047.4763402658</v>
      </c>
      <c r="O11" s="79">
        <v>1064.3275000000001</v>
      </c>
      <c r="P11" s="79">
        <v>1033.9800747441</v>
      </c>
      <c r="Q11" s="79">
        <v>1095.3934999999999</v>
      </c>
      <c r="R11" s="79">
        <v>1123.7650000000001</v>
      </c>
      <c r="S11" s="79">
        <v>1093.6500000000001</v>
      </c>
      <c r="U11" s="40">
        <f>SUM(H11:S11)</f>
        <v>12757.5088776268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2831.1950283554002</v>
      </c>
      <c r="I12" s="74">
        <f t="shared" si="0"/>
        <v>4620.3581627436997</v>
      </c>
      <c r="J12" s="74">
        <f t="shared" si="0"/>
        <v>4416.1568103411</v>
      </c>
      <c r="K12" s="74">
        <f t="shared" si="0"/>
        <v>4168.1699652319003</v>
      </c>
      <c r="L12" s="74">
        <f t="shared" si="0"/>
        <v>4208.9438506604001</v>
      </c>
      <c r="M12" s="74">
        <f t="shared" si="0"/>
        <v>3545.5386452844</v>
      </c>
      <c r="N12" s="74">
        <f t="shared" si="0"/>
        <v>3287.4763402658</v>
      </c>
      <c r="O12" s="74">
        <f t="shared" si="0"/>
        <v>3686.8074999999999</v>
      </c>
      <c r="P12" s="74">
        <f t="shared" si="0"/>
        <v>3952.1400747440998</v>
      </c>
      <c r="Q12" s="74">
        <f t="shared" si="0"/>
        <v>3200.9934999999996</v>
      </c>
      <c r="R12" s="74">
        <f t="shared" si="0"/>
        <v>3852.0429999999997</v>
      </c>
      <c r="S12" s="74">
        <f t="shared" si="0"/>
        <v>3917.4500000000003</v>
      </c>
      <c r="U12" s="74">
        <f>SUM(U10:U11)*-1</f>
        <v>-45687.272877626798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919.54+1887.26</f>
        <v>2806.8</v>
      </c>
      <c r="I16" s="67">
        <f>1251.28+1855.52</f>
        <v>3106.8</v>
      </c>
      <c r="J16" s="67">
        <v>2136.6999999999998</v>
      </c>
      <c r="K16" s="67">
        <f>1763.59+1585.61</f>
        <v>3349.2</v>
      </c>
      <c r="L16" s="67">
        <f>1172.34+1815.66</f>
        <v>2988</v>
      </c>
      <c r="M16" s="67">
        <f>928.27+1646.93</f>
        <v>2575.1999999999998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1287.0999999999999</v>
      </c>
      <c r="I19" s="38"/>
      <c r="J19" s="38">
        <f>2924.58+1881.76</f>
        <v>4806.34</v>
      </c>
      <c r="K19" s="80">
        <v>2637.51</v>
      </c>
      <c r="L19" s="80">
        <v>1923.17</v>
      </c>
      <c r="M19" s="80">
        <v>1373.76</v>
      </c>
      <c r="N19" s="80"/>
      <c r="O19" s="80"/>
      <c r="P19" s="80"/>
      <c r="Q19" s="80"/>
      <c r="R19" s="80"/>
      <c r="S19" s="80"/>
      <c r="U19" s="40">
        <f>SUM(H19:S19)</f>
        <v>12027.880000000001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1429.565229</v>
      </c>
      <c r="I20" s="38">
        <v>1429.565229</v>
      </c>
      <c r="J20" s="38">
        <v>1429.565229</v>
      </c>
      <c r="K20" s="80"/>
      <c r="L20" s="80">
        <v>2998.3459680000001</v>
      </c>
      <c r="M20" s="80">
        <v>1499.172984</v>
      </c>
      <c r="N20" s="80"/>
      <c r="O20" s="80"/>
      <c r="P20" s="80"/>
      <c r="Q20" s="80"/>
      <c r="R20" s="80"/>
      <c r="S20" s="80"/>
      <c r="U20" s="40">
        <f>SUM(H20:S20)</f>
        <v>8786.2146390000016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2716.6652290000002</v>
      </c>
      <c r="I21" s="74">
        <f t="shared" si="1"/>
        <v>1429.565229</v>
      </c>
      <c r="J21" s="74">
        <f t="shared" si="1"/>
        <v>6235.905229</v>
      </c>
      <c r="K21" s="74">
        <f t="shared" si="1"/>
        <v>2637.51</v>
      </c>
      <c r="L21" s="74">
        <f t="shared" si="1"/>
        <v>4921.5159679999997</v>
      </c>
      <c r="M21" s="74">
        <f t="shared" si="1"/>
        <v>2872.932984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-20814.094639000003</v>
      </c>
    </row>
    <row r="23" spans="2:21" ht="14.4" x14ac:dyDescent="0.3">
      <c r="B23" s="99" t="s">
        <v>34</v>
      </c>
      <c r="C23" s="99"/>
      <c r="H23" s="52">
        <f t="shared" ref="H23:S23" si="2">H21/H12</f>
        <v>0.95954718830446351</v>
      </c>
      <c r="I23" s="52">
        <f t="shared" si="2"/>
        <v>0.30940571675315398</v>
      </c>
      <c r="J23" s="52">
        <f t="shared" si="2"/>
        <v>1.412066078450313</v>
      </c>
      <c r="K23" s="52">
        <f t="shared" si="2"/>
        <v>0.63277410038466597</v>
      </c>
      <c r="L23" s="52">
        <f t="shared" si="2"/>
        <v>1.1692995066274867</v>
      </c>
      <c r="M23" s="52">
        <f t="shared" si="2"/>
        <v>0.81029521080556499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0.4555775236300596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U23"/>
  <sheetViews>
    <sheetView showGridLines="0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85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217</v>
      </c>
      <c r="I7" s="67">
        <v>300</v>
      </c>
      <c r="J7" s="67">
        <v>359</v>
      </c>
      <c r="K7" s="67">
        <v>366</v>
      </c>
      <c r="L7" s="67">
        <v>480</v>
      </c>
      <c r="M7" s="67">
        <v>454</v>
      </c>
      <c r="N7" s="67">
        <v>410</v>
      </c>
      <c r="O7" s="67">
        <v>470</v>
      </c>
      <c r="P7" s="67">
        <v>389</v>
      </c>
      <c r="Q7" s="67">
        <v>269</v>
      </c>
      <c r="R7" s="67">
        <v>370</v>
      </c>
      <c r="S7" s="67">
        <v>365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305.97000000000003</v>
      </c>
      <c r="I10" s="38">
        <v>423</v>
      </c>
      <c r="J10" s="38">
        <v>506.19</v>
      </c>
      <c r="K10" s="79">
        <v>516.05999999999995</v>
      </c>
      <c r="L10" s="79">
        <v>676.8</v>
      </c>
      <c r="M10" s="79">
        <v>640.14</v>
      </c>
      <c r="N10" s="79">
        <v>578.1</v>
      </c>
      <c r="O10" s="79">
        <v>662.7</v>
      </c>
      <c r="P10" s="79">
        <v>548.49</v>
      </c>
      <c r="Q10" s="79">
        <v>379.29</v>
      </c>
      <c r="R10" s="79">
        <v>521.70000000000005</v>
      </c>
      <c r="S10" s="79">
        <v>514.65</v>
      </c>
      <c r="U10" s="40">
        <f>SUM(H10:S10)</f>
        <v>6273.0899999999992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3.3495426762</v>
      </c>
      <c r="I11" s="38">
        <v>3.3204989360999999</v>
      </c>
      <c r="J11" s="38">
        <v>3.3370246383</v>
      </c>
      <c r="K11" s="79">
        <v>3.3424415306999999</v>
      </c>
      <c r="L11" s="79">
        <v>3.2963528412000001</v>
      </c>
      <c r="M11" s="79">
        <v>3.2245383132000001</v>
      </c>
      <c r="N11" s="79">
        <v>3.3043417674</v>
      </c>
      <c r="O11" s="79">
        <v>3.3574999999999999</v>
      </c>
      <c r="P11" s="79">
        <v>3.2617667973</v>
      </c>
      <c r="Q11" s="79">
        <v>3.4554999999999998</v>
      </c>
      <c r="R11" s="79">
        <v>3.5449999999999999</v>
      </c>
      <c r="S11" s="79">
        <v>3.45</v>
      </c>
      <c r="U11" s="40">
        <f>SUM(H11:S11)</f>
        <v>40.244507500400005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309.3195426762</v>
      </c>
      <c r="I12" s="74">
        <f t="shared" si="0"/>
        <v>426.32049893610002</v>
      </c>
      <c r="J12" s="74">
        <f t="shared" si="0"/>
        <v>509.52702463830002</v>
      </c>
      <c r="K12" s="74">
        <f t="shared" si="0"/>
        <v>519.40244153069989</v>
      </c>
      <c r="L12" s="74">
        <f t="shared" si="0"/>
        <v>680.09635284119997</v>
      </c>
      <c r="M12" s="74">
        <f t="shared" si="0"/>
        <v>643.3645383132</v>
      </c>
      <c r="N12" s="74">
        <f t="shared" si="0"/>
        <v>581.40434176740007</v>
      </c>
      <c r="O12" s="74">
        <f t="shared" si="0"/>
        <v>666.0575</v>
      </c>
      <c r="P12" s="74">
        <f t="shared" si="0"/>
        <v>551.75176679729998</v>
      </c>
      <c r="Q12" s="74">
        <f t="shared" si="0"/>
        <v>382.74549999999999</v>
      </c>
      <c r="R12" s="74">
        <f t="shared" si="0"/>
        <v>525.245</v>
      </c>
      <c r="S12" s="74">
        <f t="shared" si="0"/>
        <v>518.1</v>
      </c>
      <c r="U12" s="74">
        <f>SUM(U10:U11)*-1</f>
        <v>-6313.334507500399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v>298</v>
      </c>
      <c r="I16" s="67">
        <v>380</v>
      </c>
      <c r="J16" s="67">
        <v>418</v>
      </c>
      <c r="K16" s="67">
        <v>466</v>
      </c>
      <c r="L16" s="67">
        <v>462</v>
      </c>
      <c r="M16" s="67">
        <v>439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84.46</v>
      </c>
      <c r="I19" s="38">
        <v>107.19</v>
      </c>
      <c r="J19" s="38">
        <v>117.37</v>
      </c>
      <c r="K19" s="80">
        <v>131.96</v>
      </c>
      <c r="L19" s="80">
        <v>132.75</v>
      </c>
      <c r="M19" s="80">
        <v>124.76</v>
      </c>
      <c r="N19" s="80"/>
      <c r="O19" s="80"/>
      <c r="P19" s="80"/>
      <c r="Q19" s="80"/>
      <c r="R19" s="80"/>
      <c r="S19" s="80"/>
      <c r="U19" s="40">
        <f>SUM(H19:S19)</f>
        <v>698.49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3.6939669999999998</v>
      </c>
      <c r="I20" s="38">
        <v>3.6939669999999998</v>
      </c>
      <c r="J20" s="38">
        <v>3.6939669999999998</v>
      </c>
      <c r="K20" s="80"/>
      <c r="L20" s="80">
        <v>7.7476640000000003</v>
      </c>
      <c r="M20" s="80">
        <v>3.8738320000000002</v>
      </c>
      <c r="N20" s="80"/>
      <c r="O20" s="80"/>
      <c r="P20" s="80"/>
      <c r="Q20" s="80"/>
      <c r="R20" s="80"/>
      <c r="S20" s="80"/>
      <c r="U20" s="40">
        <f>SUM(H20:S20)</f>
        <v>22.703396999999999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88.153966999999994</v>
      </c>
      <c r="I21" s="74">
        <f t="shared" si="1"/>
        <v>110.883967</v>
      </c>
      <c r="J21" s="74">
        <f t="shared" si="1"/>
        <v>121.06396700000001</v>
      </c>
      <c r="K21" s="74">
        <f t="shared" si="1"/>
        <v>131.96</v>
      </c>
      <c r="L21" s="74">
        <f t="shared" si="1"/>
        <v>140.49766399999999</v>
      </c>
      <c r="M21" s="74">
        <f t="shared" si="1"/>
        <v>128.63383200000001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-721.193397</v>
      </c>
    </row>
    <row r="23" spans="2:21" ht="14.4" x14ac:dyDescent="0.3">
      <c r="B23" s="99" t="s">
        <v>34</v>
      </c>
      <c r="C23" s="99"/>
      <c r="H23" s="52">
        <f t="shared" ref="H23:S23" si="2">H21/H12</f>
        <v>0.28499320229592084</v>
      </c>
      <c r="I23" s="52">
        <f t="shared" si="2"/>
        <v>0.2600953209538725</v>
      </c>
      <c r="J23" s="52">
        <f t="shared" si="2"/>
        <v>0.23760067895503711</v>
      </c>
      <c r="K23" s="52">
        <f t="shared" si="2"/>
        <v>0.25406118540973466</v>
      </c>
      <c r="L23" s="52">
        <f t="shared" si="2"/>
        <v>0.20658493963840691</v>
      </c>
      <c r="M23" s="52">
        <f t="shared" si="2"/>
        <v>0.1999392635740502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0.11423335737132323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U23"/>
  <sheetViews>
    <sheetView showGridLines="0" topLeftCell="A3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86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245</v>
      </c>
      <c r="I7" s="67">
        <v>306.10000000000002</v>
      </c>
      <c r="J7" s="67">
        <v>415</v>
      </c>
      <c r="K7" s="67">
        <v>467</v>
      </c>
      <c r="L7" s="67">
        <v>554</v>
      </c>
      <c r="M7" s="67">
        <v>560</v>
      </c>
      <c r="N7" s="67">
        <v>427</v>
      </c>
      <c r="O7" s="67">
        <v>518</v>
      </c>
      <c r="P7" s="67">
        <v>469</v>
      </c>
      <c r="Q7" s="67">
        <v>401</v>
      </c>
      <c r="R7" s="67">
        <v>506</v>
      </c>
      <c r="S7" s="67">
        <v>464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343</v>
      </c>
      <c r="I10" s="38">
        <v>428.54</v>
      </c>
      <c r="J10" s="38">
        <v>581</v>
      </c>
      <c r="K10" s="79">
        <v>653.79999999999995</v>
      </c>
      <c r="L10" s="79">
        <v>775.6</v>
      </c>
      <c r="M10" s="79">
        <v>784</v>
      </c>
      <c r="N10" s="79">
        <v>597.79999999999995</v>
      </c>
      <c r="O10" s="79">
        <v>725.2</v>
      </c>
      <c r="P10" s="79">
        <v>656.6</v>
      </c>
      <c r="Q10" s="79">
        <v>561.4</v>
      </c>
      <c r="R10" s="79">
        <v>708.4</v>
      </c>
      <c r="S10" s="79">
        <v>649.6</v>
      </c>
      <c r="U10" s="40">
        <f>SUM(H10:S10)</f>
        <v>7464.94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56.942225495400002</v>
      </c>
      <c r="I11" s="38">
        <v>56.4484819137</v>
      </c>
      <c r="J11" s="38">
        <v>56.7294188511</v>
      </c>
      <c r="K11" s="79">
        <v>56.821506021899999</v>
      </c>
      <c r="L11" s="79">
        <v>56.037998300399998</v>
      </c>
      <c r="M11" s="79">
        <v>54.817151324400001</v>
      </c>
      <c r="N11" s="79">
        <v>56.173810045800003</v>
      </c>
      <c r="O11" s="79">
        <v>57.077500000000001</v>
      </c>
      <c r="P11" s="79">
        <v>55.450035554099998</v>
      </c>
      <c r="Q11" s="79">
        <v>58.743499999999997</v>
      </c>
      <c r="R11" s="79">
        <v>60.265000000000001</v>
      </c>
      <c r="S11" s="79">
        <v>58.65</v>
      </c>
      <c r="U11" s="40">
        <f>SUM(H11:S11)</f>
        <v>684.15662750679996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399.94222549540001</v>
      </c>
      <c r="I12" s="74">
        <f t="shared" si="0"/>
        <v>484.98848191370001</v>
      </c>
      <c r="J12" s="74">
        <f t="shared" si="0"/>
        <v>637.72941885110004</v>
      </c>
      <c r="K12" s="74">
        <f t="shared" si="0"/>
        <v>710.6215060218999</v>
      </c>
      <c r="L12" s="74">
        <f t="shared" si="0"/>
        <v>831.6379983004</v>
      </c>
      <c r="M12" s="74">
        <f t="shared" si="0"/>
        <v>838.81715132440002</v>
      </c>
      <c r="N12" s="74">
        <f t="shared" si="0"/>
        <v>653.97381004579995</v>
      </c>
      <c r="O12" s="74">
        <f t="shared" si="0"/>
        <v>782.27750000000003</v>
      </c>
      <c r="P12" s="74">
        <f t="shared" si="0"/>
        <v>712.05003555410008</v>
      </c>
      <c r="Q12" s="74">
        <f t="shared" si="0"/>
        <v>620.14350000000002</v>
      </c>
      <c r="R12" s="74">
        <f t="shared" si="0"/>
        <v>768.66499999999996</v>
      </c>
      <c r="S12" s="74">
        <f t="shared" si="0"/>
        <v>708.25</v>
      </c>
      <c r="U12" s="74">
        <f>SUM(U10:U11)*-1</f>
        <v>-8149.0966275067995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37.8+251.2</f>
        <v>289</v>
      </c>
      <c r="I16" s="67">
        <f>51.74+192.26</f>
        <v>244</v>
      </c>
      <c r="J16" s="67">
        <v>516</v>
      </c>
      <c r="K16" s="67">
        <v>528</v>
      </c>
      <c r="L16" s="67">
        <v>559</v>
      </c>
      <c r="M16" s="67">
        <v>602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123.51</v>
      </c>
      <c r="I19" s="38">
        <v>128.49</v>
      </c>
      <c r="J19" s="38">
        <v>144.88999999999999</v>
      </c>
      <c r="K19" s="80">
        <v>149.51</v>
      </c>
      <c r="L19" s="80">
        <v>160.63</v>
      </c>
      <c r="M19" s="80">
        <v>171.1</v>
      </c>
      <c r="N19" s="80"/>
      <c r="O19" s="80"/>
      <c r="P19" s="80"/>
      <c r="Q19" s="80"/>
      <c r="R19" s="80"/>
      <c r="S19" s="80"/>
      <c r="U19" s="40">
        <f>SUM(H19:S19)</f>
        <v>878.13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158.84058099999999</v>
      </c>
      <c r="I20" s="38">
        <v>158.84058099999999</v>
      </c>
      <c r="J20" s="38">
        <v>158.84058099999999</v>
      </c>
      <c r="K20" s="80"/>
      <c r="L20" s="80">
        <v>333.14</v>
      </c>
      <c r="M20" s="80">
        <v>166.57</v>
      </c>
      <c r="N20" s="80"/>
      <c r="O20" s="80"/>
      <c r="P20" s="80"/>
      <c r="Q20" s="80"/>
      <c r="R20" s="80"/>
      <c r="S20" s="80"/>
      <c r="U20" s="40">
        <f>SUM(H20:S20)</f>
        <v>976.23174299999982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282.35058099999998</v>
      </c>
      <c r="I21" s="74">
        <f t="shared" si="1"/>
        <v>287.330581</v>
      </c>
      <c r="J21" s="74">
        <f t="shared" si="1"/>
        <v>303.73058099999997</v>
      </c>
      <c r="K21" s="74">
        <f t="shared" si="1"/>
        <v>149.51</v>
      </c>
      <c r="L21" s="74">
        <f t="shared" si="1"/>
        <v>493.77</v>
      </c>
      <c r="M21" s="74">
        <f t="shared" si="1"/>
        <v>337.66999999999996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-1854.3617429999999</v>
      </c>
    </row>
    <row r="23" spans="2:21" ht="14.4" x14ac:dyDescent="0.3">
      <c r="B23" s="99" t="s">
        <v>34</v>
      </c>
      <c r="C23" s="99"/>
      <c r="H23" s="52">
        <f t="shared" ref="H23:S23" si="2">H21/H12</f>
        <v>0.70597842138388434</v>
      </c>
      <c r="I23" s="52">
        <f t="shared" si="2"/>
        <v>0.59244825746424279</v>
      </c>
      <c r="J23" s="52">
        <f t="shared" si="2"/>
        <v>0.47626873094107075</v>
      </c>
      <c r="K23" s="52">
        <f t="shared" si="2"/>
        <v>0.21039329478918473</v>
      </c>
      <c r="L23" s="52">
        <f t="shared" si="2"/>
        <v>0.59373188936665555</v>
      </c>
      <c r="M23" s="52">
        <f t="shared" si="2"/>
        <v>0.4025549542791968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0.22755427107597551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U23"/>
  <sheetViews>
    <sheetView showGridLines="0" topLeftCell="A7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87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242</v>
      </c>
      <c r="I7" s="67">
        <v>550</v>
      </c>
      <c r="J7" s="67">
        <v>844</v>
      </c>
      <c r="K7" s="67">
        <v>960</v>
      </c>
      <c r="L7" s="67">
        <v>791</v>
      </c>
      <c r="M7" s="67">
        <v>755</v>
      </c>
      <c r="N7" s="67">
        <v>606</v>
      </c>
      <c r="O7" s="67">
        <v>847</v>
      </c>
      <c r="P7" s="67">
        <v>791</v>
      </c>
      <c r="Q7" s="67">
        <v>857</v>
      </c>
      <c r="R7" s="67">
        <v>924</v>
      </c>
      <c r="S7" s="67">
        <v>956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338.8</v>
      </c>
      <c r="I10" s="38">
        <v>770</v>
      </c>
      <c r="J10" s="38">
        <v>1181.5999999999999</v>
      </c>
      <c r="K10" s="79">
        <v>1344</v>
      </c>
      <c r="L10" s="79">
        <v>1107.4000000000001</v>
      </c>
      <c r="M10" s="79">
        <v>1057</v>
      </c>
      <c r="N10" s="79">
        <v>848.4</v>
      </c>
      <c r="O10" s="79">
        <v>1185.8</v>
      </c>
      <c r="P10" s="79">
        <v>1107.4000000000001</v>
      </c>
      <c r="Q10" s="79">
        <v>1199.8</v>
      </c>
      <c r="R10" s="79">
        <v>1293.5999999999999</v>
      </c>
      <c r="S10" s="79">
        <v>1338.4</v>
      </c>
      <c r="U10" s="40">
        <f>SUM(H10:S10)</f>
        <v>12772.199999999999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499.08185875380002</v>
      </c>
      <c r="I11" s="38">
        <v>494.75434147890002</v>
      </c>
      <c r="J11" s="38">
        <v>497.21667110670001</v>
      </c>
      <c r="K11" s="79">
        <v>498.0237880743</v>
      </c>
      <c r="L11" s="79">
        <v>491.1565733388</v>
      </c>
      <c r="M11" s="79">
        <v>480.45620866680002</v>
      </c>
      <c r="N11" s="79">
        <v>492.34692334260001</v>
      </c>
      <c r="O11" s="79">
        <v>500.26749999999998</v>
      </c>
      <c r="P11" s="79">
        <v>486.00325279769999</v>
      </c>
      <c r="Q11" s="79">
        <v>514.86950000000002</v>
      </c>
      <c r="R11" s="79">
        <v>528.20500000000004</v>
      </c>
      <c r="S11" s="79">
        <v>514.04999999999995</v>
      </c>
      <c r="U11" s="40">
        <f>SUM(H11:S11)</f>
        <v>5996.4316175595995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837.88185875380009</v>
      </c>
      <c r="I12" s="74">
        <f t="shared" si="0"/>
        <v>1264.7543414789</v>
      </c>
      <c r="J12" s="74">
        <f t="shared" si="0"/>
        <v>1678.8166711066999</v>
      </c>
      <c r="K12" s="74">
        <f t="shared" si="0"/>
        <v>1842.0237880743</v>
      </c>
      <c r="L12" s="74">
        <f t="shared" si="0"/>
        <v>1598.5565733388</v>
      </c>
      <c r="M12" s="74">
        <f t="shared" si="0"/>
        <v>1537.4562086668</v>
      </c>
      <c r="N12" s="74">
        <f t="shared" si="0"/>
        <v>1340.7469233426</v>
      </c>
      <c r="O12" s="74">
        <f t="shared" si="0"/>
        <v>1686.0674999999999</v>
      </c>
      <c r="P12" s="74">
        <f t="shared" si="0"/>
        <v>1593.4032527977001</v>
      </c>
      <c r="Q12" s="74">
        <f t="shared" si="0"/>
        <v>1714.6695</v>
      </c>
      <c r="R12" s="74">
        <f t="shared" si="0"/>
        <v>1821.8049999999998</v>
      </c>
      <c r="S12" s="74">
        <f t="shared" si="0"/>
        <v>1852.45</v>
      </c>
      <c r="U12" s="74">
        <f>SUM(U10:U11)*-1</f>
        <v>-18768.6316175596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 t="s">
        <v>46</v>
      </c>
      <c r="F16" s="107"/>
      <c r="G16" s="67">
        <f>'[1]Rateio UFV - Faturamento (R$)'!G89</f>
        <v>0</v>
      </c>
      <c r="H16" s="67">
        <f>50+302</f>
        <v>352</v>
      </c>
      <c r="I16" s="67">
        <f>50.03+423.97</f>
        <v>474</v>
      </c>
      <c r="J16" s="67">
        <f>50+946</f>
        <v>996</v>
      </c>
      <c r="K16" s="67">
        <f>138.64+742.35</f>
        <v>880.99</v>
      </c>
      <c r="L16" s="67">
        <f>486.04+548.92</f>
        <v>1034.96</v>
      </c>
      <c r="M16" s="67">
        <f>388.07+497.9</f>
        <v>885.97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 s="38">
        <v>62.22</v>
      </c>
      <c r="I19" s="38"/>
      <c r="J19" s="38">
        <f>61.42+68.5</f>
        <v>129.92000000000002</v>
      </c>
      <c r="K19" s="80">
        <v>189.42</v>
      </c>
      <c r="L19" s="80">
        <v>793.65</v>
      </c>
      <c r="M19" s="80">
        <v>747.64</v>
      </c>
      <c r="N19" s="80"/>
      <c r="O19" s="80"/>
      <c r="P19" s="80"/>
      <c r="Q19" s="80"/>
      <c r="R19" s="80"/>
      <c r="S19" s="80"/>
      <c r="U19" s="40">
        <f>SUM(H19:S19)</f>
        <v>1922.85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>
        <v>432.19</v>
      </c>
      <c r="I20" s="38">
        <v>432.19</v>
      </c>
      <c r="J20" s="38">
        <v>432.19</v>
      </c>
      <c r="K20" s="38"/>
      <c r="L20" s="80">
        <v>885.43000000000006</v>
      </c>
      <c r="M20" s="80">
        <v>453.24</v>
      </c>
      <c r="N20" s="80">
        <v>453.24</v>
      </c>
      <c r="O20" s="80"/>
      <c r="P20" s="80"/>
      <c r="Q20" s="80"/>
      <c r="R20" s="80"/>
      <c r="S20" s="80"/>
      <c r="U20" s="40">
        <f>SUM(I20:S20)</f>
        <v>2656.29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494.40999999999997</v>
      </c>
      <c r="I21" s="74">
        <f t="shared" si="1"/>
        <v>432.19</v>
      </c>
      <c r="J21" s="74">
        <f t="shared" si="1"/>
        <v>562.11</v>
      </c>
      <c r="K21" s="74">
        <f t="shared" si="1"/>
        <v>189.42</v>
      </c>
      <c r="L21" s="74">
        <f t="shared" si="1"/>
        <v>1679.08</v>
      </c>
      <c r="M21" s="74">
        <f t="shared" si="1"/>
        <v>1200.8800000000001</v>
      </c>
      <c r="N21" s="74">
        <f t="shared" si="1"/>
        <v>453.24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-4579.1399999999994</v>
      </c>
    </row>
    <row r="23" spans="2:21" ht="14.4" x14ac:dyDescent="0.3">
      <c r="B23" s="99" t="s">
        <v>34</v>
      </c>
      <c r="C23" s="99"/>
      <c r="H23" s="52">
        <f t="shared" ref="H23:S23" si="2">H21/H12</f>
        <v>0.59007125507568181</v>
      </c>
      <c r="I23" s="52">
        <f t="shared" si="2"/>
        <v>0.34171853444253253</v>
      </c>
      <c r="J23" s="52">
        <f t="shared" si="2"/>
        <v>0.33482512395439168</v>
      </c>
      <c r="K23" s="52">
        <f t="shared" si="2"/>
        <v>0.10283254821482225</v>
      </c>
      <c r="L23" s="52">
        <f t="shared" si="2"/>
        <v>1.0503725848707475</v>
      </c>
      <c r="M23" s="52">
        <f t="shared" si="2"/>
        <v>0.78108240952198515</v>
      </c>
      <c r="N23" s="52">
        <f t="shared" si="2"/>
        <v>0.33805037483884942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0.24397836205149004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3:U23"/>
  <sheetViews>
    <sheetView showGridLines="0" topLeftCell="A3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88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783</v>
      </c>
      <c r="I7" s="67">
        <v>894</v>
      </c>
      <c r="J7" s="67">
        <v>2265</v>
      </c>
      <c r="K7" s="67">
        <v>2771</v>
      </c>
      <c r="L7" s="67">
        <v>2749</v>
      </c>
      <c r="M7" s="67">
        <v>2337</v>
      </c>
      <c r="N7" s="67">
        <v>1374</v>
      </c>
      <c r="O7" s="67">
        <v>1768</v>
      </c>
      <c r="P7" s="67">
        <v>2005</v>
      </c>
      <c r="Q7" s="67">
        <v>1746</v>
      </c>
      <c r="R7" s="67">
        <v>2437</v>
      </c>
      <c r="S7" s="67">
        <v>2341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8269.7999999999993</v>
      </c>
      <c r="I10" s="38">
        <v>11597.52</v>
      </c>
      <c r="J10" s="38">
        <v>9794.4</v>
      </c>
      <c r="K10" s="79">
        <v>10586.4</v>
      </c>
      <c r="L10" s="79">
        <v>9577.92</v>
      </c>
      <c r="M10" s="79">
        <v>7823.64</v>
      </c>
      <c r="N10" s="79">
        <v>6470.64</v>
      </c>
      <c r="O10" s="79">
        <v>6325.44</v>
      </c>
      <c r="P10" s="79">
        <v>6332.04</v>
      </c>
      <c r="Q10" s="79">
        <v>7044.84</v>
      </c>
      <c r="R10" s="79">
        <v>8170.8</v>
      </c>
      <c r="S10" s="79">
        <v>7794.6</v>
      </c>
      <c r="U10" s="40">
        <f>SUM(H10:S10)</f>
        <v>99788.04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3681.1474011437999</v>
      </c>
      <c r="I11" s="38">
        <v>3649.2283307738999</v>
      </c>
      <c r="J11" s="38">
        <v>3667.3900774917001</v>
      </c>
      <c r="K11" s="79">
        <v>3673.3432422392998</v>
      </c>
      <c r="L11" s="79">
        <v>3622.6917724788</v>
      </c>
      <c r="M11" s="79">
        <v>3543.7676062067999</v>
      </c>
      <c r="N11" s="79">
        <v>3631.4716023726</v>
      </c>
      <c r="O11" s="79">
        <v>3689.8924999999999</v>
      </c>
      <c r="P11" s="79">
        <v>3584.6817102327</v>
      </c>
      <c r="Q11" s="79">
        <v>3797.5945000000002</v>
      </c>
      <c r="R11" s="79">
        <v>3895.9549999999999</v>
      </c>
      <c r="S11" s="79">
        <v>3791.55</v>
      </c>
      <c r="U11" s="40">
        <f>SUM(H11:S11)</f>
        <v>44228.71374293961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11950.9474011438</v>
      </c>
      <c r="I12" s="74">
        <f t="shared" si="0"/>
        <v>15246.7483307739</v>
      </c>
      <c r="J12" s="74">
        <f t="shared" si="0"/>
        <v>13461.7900774917</v>
      </c>
      <c r="K12" s="74">
        <f t="shared" si="0"/>
        <v>14259.743242239299</v>
      </c>
      <c r="L12" s="74">
        <f t="shared" si="0"/>
        <v>13200.6117724788</v>
      </c>
      <c r="M12" s="74">
        <f t="shared" si="0"/>
        <v>11367.4076062068</v>
      </c>
      <c r="N12" s="74">
        <f t="shared" si="0"/>
        <v>10102.111602372601</v>
      </c>
      <c r="O12" s="74">
        <f t="shared" si="0"/>
        <v>10015.3325</v>
      </c>
      <c r="P12" s="74">
        <f t="shared" si="0"/>
        <v>9916.7217102326995</v>
      </c>
      <c r="Q12" s="74">
        <f t="shared" si="0"/>
        <v>10842.434499999999</v>
      </c>
      <c r="R12" s="74">
        <f t="shared" si="0"/>
        <v>12066.755000000001</v>
      </c>
      <c r="S12" s="74">
        <f t="shared" si="0"/>
        <v>11586.150000000001</v>
      </c>
      <c r="U12" s="74">
        <f>SUM(U10:U11)*-1</f>
        <v>-144016.75374293962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/>
      <c r="F16" s="107"/>
      <c r="G16" s="67"/>
      <c r="H16" s="67">
        <v>981</v>
      </c>
      <c r="I16" s="67">
        <v>1120</v>
      </c>
      <c r="J16" s="67">
        <v>2446</v>
      </c>
      <c r="K16" s="67">
        <v>3112</v>
      </c>
      <c r="L16" s="67">
        <v>2574</v>
      </c>
      <c r="M16" s="67">
        <v>2162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>
        <v>278.04000000000002</v>
      </c>
      <c r="I19">
        <v>315.94</v>
      </c>
      <c r="J19">
        <v>686.84</v>
      </c>
      <c r="K19" s="80">
        <v>881.25</v>
      </c>
      <c r="L19" s="80">
        <v>739.82</v>
      </c>
      <c r="M19" s="80">
        <v>614.49</v>
      </c>
      <c r="N19" s="80"/>
      <c r="O19" s="80"/>
      <c r="P19" s="80"/>
      <c r="Q19" s="80"/>
      <c r="R19" s="80"/>
      <c r="S19" s="80"/>
      <c r="U19" s="40">
        <f>SUM(H19:S19)</f>
        <v>3516.38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528.23728100000005</v>
      </c>
      <c r="I20" s="38">
        <v>528.23728100000005</v>
      </c>
      <c r="J20" s="38">
        <v>528.23728100000005</v>
      </c>
      <c r="K20" s="80"/>
      <c r="L20" s="80">
        <v>1107.9159520000001</v>
      </c>
      <c r="M20" s="80">
        <v>553.95797600000003</v>
      </c>
      <c r="N20" s="80"/>
      <c r="O20" s="80"/>
      <c r="P20" s="80"/>
      <c r="Q20" s="80"/>
      <c r="R20" s="80"/>
      <c r="S20" s="80"/>
      <c r="U20" s="40">
        <f>SUM(H20:S20)</f>
        <v>3246.5857710000005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806.27728100000013</v>
      </c>
      <c r="I21" s="74">
        <f t="shared" si="1"/>
        <v>844.17728099999999</v>
      </c>
      <c r="J21" s="74">
        <f t="shared" si="1"/>
        <v>1215.0772810000001</v>
      </c>
      <c r="K21" s="74">
        <f t="shared" si="1"/>
        <v>881.25</v>
      </c>
      <c r="L21" s="74">
        <f t="shared" si="1"/>
        <v>1847.735952</v>
      </c>
      <c r="M21" s="74">
        <f t="shared" si="1"/>
        <v>1168.4479759999999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-6762.965771000001</v>
      </c>
    </row>
    <row r="23" spans="2:21" ht="14.4" x14ac:dyDescent="0.3">
      <c r="B23" s="99" t="s">
        <v>34</v>
      </c>
      <c r="C23" s="99"/>
      <c r="H23" s="52">
        <f t="shared" ref="H23:S23" si="2">H21/H12</f>
        <v>6.7465553477612419E-2</v>
      </c>
      <c r="I23" s="52">
        <f t="shared" si="2"/>
        <v>5.5367693011376083E-2</v>
      </c>
      <c r="J23" s="52">
        <f t="shared" si="2"/>
        <v>9.0261196616906555E-2</v>
      </c>
      <c r="K23" s="52">
        <f t="shared" si="2"/>
        <v>6.1799850462217129E-2</v>
      </c>
      <c r="L23" s="52">
        <f t="shared" si="2"/>
        <v>0.13997350909540715</v>
      </c>
      <c r="M23" s="52">
        <f t="shared" si="2"/>
        <v>0.10278930926713732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4.6959576543930771E-2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3:U23"/>
  <sheetViews>
    <sheetView showGridLines="0" topLeftCell="A2" zoomScaleNormal="100" workbookViewId="0">
      <selection activeCell="K20" sqref="K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21"/>
      <c r="C3" s="22" t="s">
        <v>89</v>
      </c>
      <c r="D3" s="23"/>
      <c r="E3" s="23"/>
      <c r="F3" s="23"/>
      <c r="U3" s="23"/>
    </row>
    <row r="4" spans="1:21" ht="13.5" customHeight="1" x14ac:dyDescent="0.3">
      <c r="B4" s="21"/>
      <c r="C4" s="22"/>
      <c r="D4" s="23"/>
      <c r="E4" s="23"/>
      <c r="F4" s="23"/>
      <c r="U4" s="23"/>
    </row>
    <row r="5" spans="1:21" ht="13.5" customHeight="1" x14ac:dyDescent="0.3">
      <c r="B5" s="81" t="s">
        <v>56</v>
      </c>
      <c r="C5" s="22"/>
      <c r="D5" s="23"/>
      <c r="E5" s="23"/>
      <c r="F5" s="23"/>
      <c r="U5" s="23"/>
    </row>
    <row r="6" spans="1:21" ht="13.5" customHeight="1" x14ac:dyDescent="0.3">
      <c r="B6" s="21"/>
      <c r="C6" s="22"/>
      <c r="D6" s="23"/>
      <c r="E6" s="23"/>
      <c r="F6" s="23"/>
      <c r="U6" s="23"/>
    </row>
    <row r="7" spans="1:21" ht="23.4" x14ac:dyDescent="0.45">
      <c r="A7" s="21"/>
      <c r="B7" s="66"/>
      <c r="C7" s="67" t="s">
        <v>45</v>
      </c>
      <c r="E7" s="107" t="s">
        <v>46</v>
      </c>
      <c r="F7" s="107"/>
      <c r="G7" s="67">
        <f>'[1]Rateio UFV - Faturamento (R$)'!G82</f>
        <v>-1469.9317635072</v>
      </c>
      <c r="H7" s="67">
        <v>185</v>
      </c>
      <c r="I7" s="67">
        <v>214</v>
      </c>
      <c r="J7" s="67">
        <v>383</v>
      </c>
      <c r="K7" s="67">
        <v>418</v>
      </c>
      <c r="L7" s="67">
        <v>398</v>
      </c>
      <c r="M7" s="67">
        <v>471</v>
      </c>
      <c r="N7" s="67">
        <v>333</v>
      </c>
      <c r="O7" s="67">
        <v>347</v>
      </c>
      <c r="P7" s="67">
        <v>459</v>
      </c>
      <c r="Q7" s="67">
        <v>349</v>
      </c>
      <c r="R7" s="67">
        <v>407</v>
      </c>
      <c r="S7" s="67">
        <v>357</v>
      </c>
    </row>
    <row r="8" spans="1:21" ht="12" customHeight="1" x14ac:dyDescent="0.45">
      <c r="A8" s="21"/>
      <c r="B8" s="66"/>
      <c r="C8" s="68"/>
    </row>
    <row r="9" spans="1:21" ht="14.25" customHeight="1" x14ac:dyDescent="0.3">
      <c r="A9" s="21"/>
      <c r="B9" s="108" t="s">
        <v>47</v>
      </c>
      <c r="C9" s="108"/>
      <c r="D9" s="69" t="s">
        <v>48</v>
      </c>
      <c r="E9" s="69" t="s">
        <v>17</v>
      </c>
      <c r="F9" s="69" t="s">
        <v>18</v>
      </c>
      <c r="G9" s="69" t="s">
        <v>49</v>
      </c>
      <c r="H9" s="70">
        <v>46023</v>
      </c>
      <c r="I9" s="70">
        <v>46054</v>
      </c>
      <c r="J9" s="70">
        <v>46082</v>
      </c>
      <c r="K9" s="70">
        <v>46113</v>
      </c>
      <c r="L9" s="70">
        <v>46143</v>
      </c>
      <c r="M9" s="70">
        <v>46174</v>
      </c>
      <c r="N9" s="70">
        <v>46204</v>
      </c>
      <c r="O9" s="70">
        <v>46235</v>
      </c>
      <c r="P9" s="70">
        <v>46266</v>
      </c>
      <c r="Q9" s="70">
        <v>46296</v>
      </c>
      <c r="R9" s="70">
        <v>46327</v>
      </c>
      <c r="S9" s="70">
        <v>46357</v>
      </c>
      <c r="U9" s="70" t="s">
        <v>10</v>
      </c>
    </row>
    <row r="10" spans="1:21" ht="14.25" customHeight="1" x14ac:dyDescent="0.3">
      <c r="A10" s="21"/>
      <c r="B10" s="21"/>
      <c r="C10" s="77" t="s">
        <v>50</v>
      </c>
      <c r="D10" s="34"/>
      <c r="E10" s="34"/>
      <c r="F10" s="42"/>
      <c r="G10" s="44"/>
      <c r="H10" s="38">
        <v>259</v>
      </c>
      <c r="I10" s="38">
        <v>299.60000000000002</v>
      </c>
      <c r="J10" s="38">
        <v>536.20000000000005</v>
      </c>
      <c r="K10" s="79">
        <v>585.20000000000005</v>
      </c>
      <c r="L10" s="79">
        <v>557.20000000000005</v>
      </c>
      <c r="M10" s="79">
        <v>659.4</v>
      </c>
      <c r="N10" s="79">
        <v>466.2</v>
      </c>
      <c r="O10" s="79">
        <v>485.8</v>
      </c>
      <c r="P10" s="79">
        <v>642.6</v>
      </c>
      <c r="Q10" s="79">
        <v>488.6</v>
      </c>
      <c r="R10" s="79">
        <v>569.79999999999995</v>
      </c>
      <c r="S10" s="79">
        <v>499.8</v>
      </c>
      <c r="U10" s="40">
        <f>SUM(H10:S10)</f>
        <v>6049.4000000000015</v>
      </c>
    </row>
    <row r="11" spans="1:21" ht="14.25" customHeight="1" x14ac:dyDescent="0.3">
      <c r="A11" s="21"/>
      <c r="B11" s="21"/>
      <c r="C11" s="77" t="s">
        <v>52</v>
      </c>
      <c r="D11" s="78"/>
      <c r="E11" s="78"/>
      <c r="F11" s="43"/>
      <c r="G11" s="46"/>
      <c r="H11" s="38">
        <v>120.5835363432</v>
      </c>
      <c r="I11" s="38">
        <v>119.5379616996</v>
      </c>
      <c r="J11" s="38">
        <v>120.1328869788</v>
      </c>
      <c r="K11" s="79">
        <v>120.3278951052</v>
      </c>
      <c r="L11" s="79">
        <v>118.66870228320001</v>
      </c>
      <c r="M11" s="79">
        <v>116.0833792752</v>
      </c>
      <c r="N11" s="79">
        <v>118.9563036264</v>
      </c>
      <c r="O11" s="79">
        <v>120.87</v>
      </c>
      <c r="P11" s="79">
        <v>117.42360470280001</v>
      </c>
      <c r="Q11" s="79">
        <v>124.398</v>
      </c>
      <c r="R11" s="79">
        <v>127.62</v>
      </c>
      <c r="S11" s="79">
        <v>124.2</v>
      </c>
      <c r="U11" s="40">
        <f>SUM(H11:S11)</f>
        <v>1448.8022700143999</v>
      </c>
    </row>
    <row r="12" spans="1:21" ht="14.25" customHeight="1" x14ac:dyDescent="0.3">
      <c r="B12" s="106" t="s">
        <v>30</v>
      </c>
      <c r="C12" s="106"/>
      <c r="D12" s="72"/>
      <c r="E12" s="72"/>
      <c r="F12" s="73"/>
      <c r="G12" s="73"/>
      <c r="H12" s="74">
        <f t="shared" ref="H12:S12" si="0">SUM(H10:H11)</f>
        <v>379.58353634319997</v>
      </c>
      <c r="I12" s="74">
        <f t="shared" si="0"/>
        <v>419.13796169960005</v>
      </c>
      <c r="J12" s="74">
        <f t="shared" si="0"/>
        <v>656.33288697880005</v>
      </c>
      <c r="K12" s="74">
        <f t="shared" si="0"/>
        <v>705.52789510520006</v>
      </c>
      <c r="L12" s="74">
        <f t="shared" si="0"/>
        <v>675.86870228320004</v>
      </c>
      <c r="M12" s="74">
        <f t="shared" si="0"/>
        <v>775.48337927519992</v>
      </c>
      <c r="N12" s="74">
        <f t="shared" si="0"/>
        <v>585.15630362640002</v>
      </c>
      <c r="O12" s="74">
        <f t="shared" si="0"/>
        <v>606.67000000000007</v>
      </c>
      <c r="P12" s="74">
        <f t="shared" si="0"/>
        <v>760.02360470280007</v>
      </c>
      <c r="Q12" s="74">
        <f t="shared" si="0"/>
        <v>612.99800000000005</v>
      </c>
      <c r="R12" s="74">
        <f t="shared" si="0"/>
        <v>697.42</v>
      </c>
      <c r="S12" s="74">
        <f t="shared" si="0"/>
        <v>624</v>
      </c>
      <c r="U12" s="74">
        <f>SUM(U10:U11)*-1</f>
        <v>-7498.2022700144016</v>
      </c>
    </row>
    <row r="14" spans="1:21" ht="14.25" customHeight="1" x14ac:dyDescent="0.3">
      <c r="B14" s="81" t="s">
        <v>4</v>
      </c>
    </row>
    <row r="16" spans="1:21" ht="23.25" customHeight="1" x14ac:dyDescent="0.45">
      <c r="B16" s="66"/>
      <c r="C16" s="67" t="s">
        <v>45</v>
      </c>
      <c r="E16" s="107"/>
      <c r="F16" s="107"/>
      <c r="G16" s="67"/>
      <c r="H16" s="67">
        <f>6.89+174.11</f>
        <v>181</v>
      </c>
      <c r="I16" s="67">
        <f>15.14+138.86</f>
        <v>154</v>
      </c>
      <c r="J16" s="67">
        <v>398</v>
      </c>
      <c r="K16" s="67">
        <v>377</v>
      </c>
      <c r="L16" s="67">
        <v>446</v>
      </c>
      <c r="M16" s="67">
        <v>475</v>
      </c>
      <c r="N16" s="67"/>
      <c r="O16" s="67"/>
      <c r="P16" s="67"/>
      <c r="Q16" s="67"/>
      <c r="R16" s="67"/>
      <c r="S16" s="67"/>
    </row>
    <row r="17" spans="2:21" ht="14.25" customHeight="1" x14ac:dyDescent="0.45">
      <c r="B17" s="66"/>
      <c r="C17" s="68"/>
    </row>
    <row r="18" spans="2:21" ht="14.25" customHeight="1" x14ac:dyDescent="0.3">
      <c r="B18" s="108" t="s">
        <v>47</v>
      </c>
      <c r="C18" s="108"/>
      <c r="D18" s="69" t="s">
        <v>48</v>
      </c>
      <c r="E18" s="69" t="s">
        <v>17</v>
      </c>
      <c r="F18" s="69" t="s">
        <v>18</v>
      </c>
      <c r="G18" s="69" t="s">
        <v>49</v>
      </c>
      <c r="H18" s="70">
        <v>46023</v>
      </c>
      <c r="I18" s="70">
        <v>46054</v>
      </c>
      <c r="J18" s="70">
        <v>46082</v>
      </c>
      <c r="K18" s="70">
        <v>46113</v>
      </c>
      <c r="L18" s="70">
        <v>46143</v>
      </c>
      <c r="M18" s="70">
        <v>46174</v>
      </c>
      <c r="N18" s="70">
        <v>46204</v>
      </c>
      <c r="O18" s="70">
        <v>46235</v>
      </c>
      <c r="P18" s="70">
        <v>46266</v>
      </c>
      <c r="Q18" s="70">
        <v>46296</v>
      </c>
      <c r="R18" s="70">
        <v>46327</v>
      </c>
      <c r="S18" s="70">
        <v>46357</v>
      </c>
      <c r="U18" s="70" t="s">
        <v>10</v>
      </c>
    </row>
    <row r="19" spans="2:21" ht="14.25" customHeight="1" x14ac:dyDescent="0.3">
      <c r="B19" s="21"/>
      <c r="C19" s="77" t="s">
        <v>50</v>
      </c>
      <c r="D19" s="34">
        <f>'[1]Rateio UFV - Faturamento (R$)'!H88</f>
        <v>0</v>
      </c>
      <c r="E19" s="34" t="s">
        <v>28</v>
      </c>
      <c r="F19" s="42" t="s">
        <v>29</v>
      </c>
      <c r="G19" s="44" t="e">
        <f>D19*(1+#REF!)</f>
        <v>#REF!</v>
      </c>
      <c r="H19">
        <v>64.430000000000007</v>
      </c>
      <c r="I19">
        <v>63.4</v>
      </c>
      <c r="J19">
        <v>111.76</v>
      </c>
      <c r="K19" s="80">
        <v>106.75</v>
      </c>
      <c r="L19" s="80">
        <v>128.19</v>
      </c>
      <c r="M19" s="80">
        <v>135</v>
      </c>
      <c r="N19" s="80"/>
      <c r="O19" s="80"/>
      <c r="P19" s="80"/>
      <c r="Q19" s="80"/>
      <c r="R19" s="80"/>
      <c r="S19" s="80"/>
      <c r="U19" s="40">
        <f>SUM(H19:S19)</f>
        <v>609.53</v>
      </c>
    </row>
    <row r="20" spans="2:21" ht="14.25" customHeight="1" x14ac:dyDescent="0.3">
      <c r="C20" s="85" t="s">
        <v>52</v>
      </c>
      <c r="D20" s="78"/>
      <c r="E20" s="78"/>
      <c r="F20" s="43"/>
      <c r="G20" s="46"/>
      <c r="H20" s="38">
        <v>373.090667</v>
      </c>
      <c r="I20" s="38">
        <v>373.090667</v>
      </c>
      <c r="J20" s="38">
        <v>373.090667</v>
      </c>
      <c r="K20" s="80"/>
      <c r="L20" s="80">
        <v>782.52</v>
      </c>
      <c r="M20" s="80">
        <v>391.26</v>
      </c>
      <c r="N20" s="80"/>
      <c r="O20" s="80"/>
      <c r="P20" s="80"/>
      <c r="Q20" s="80"/>
      <c r="R20" s="80"/>
      <c r="S20" s="80"/>
      <c r="U20" s="40">
        <f>SUM(H20:S20)</f>
        <v>2293.052001</v>
      </c>
    </row>
    <row r="21" spans="2:21" ht="14.25" customHeight="1" x14ac:dyDescent="0.3">
      <c r="B21" s="106" t="s">
        <v>30</v>
      </c>
      <c r="C21" s="106"/>
      <c r="D21" s="72"/>
      <c r="E21" s="72"/>
      <c r="F21" s="73"/>
      <c r="G21" s="73"/>
      <c r="H21" s="74">
        <f t="shared" ref="H21:S21" si="1">SUM(H19:H20)</f>
        <v>437.520667</v>
      </c>
      <c r="I21" s="74">
        <f t="shared" si="1"/>
        <v>436.49066699999997</v>
      </c>
      <c r="J21" s="74">
        <f t="shared" si="1"/>
        <v>484.85066699999999</v>
      </c>
      <c r="K21" s="74">
        <f t="shared" si="1"/>
        <v>106.75</v>
      </c>
      <c r="L21" s="74">
        <f t="shared" si="1"/>
        <v>910.71</v>
      </c>
      <c r="M21" s="74">
        <f t="shared" si="1"/>
        <v>526.26</v>
      </c>
      <c r="N21" s="74">
        <f t="shared" si="1"/>
        <v>0</v>
      </c>
      <c r="O21" s="74">
        <f t="shared" si="1"/>
        <v>0</v>
      </c>
      <c r="P21" s="74">
        <f t="shared" si="1"/>
        <v>0</v>
      </c>
      <c r="Q21" s="74">
        <f t="shared" si="1"/>
        <v>0</v>
      </c>
      <c r="R21" s="74">
        <f t="shared" si="1"/>
        <v>0</v>
      </c>
      <c r="S21" s="74">
        <f t="shared" si="1"/>
        <v>0</v>
      </c>
      <c r="U21" s="74">
        <f>SUM(U19:U20)*-1</f>
        <v>-2902.5820009999998</v>
      </c>
    </row>
    <row r="23" spans="2:21" ht="14.4" x14ac:dyDescent="0.3">
      <c r="B23" s="99" t="s">
        <v>34</v>
      </c>
      <c r="C23" s="99"/>
      <c r="H23" s="52">
        <f t="shared" ref="H23:S23" si="2">H21/H12</f>
        <v>1.1526334129634543</v>
      </c>
      <c r="I23" s="52">
        <f t="shared" si="2"/>
        <v>1.0414009392755428</v>
      </c>
      <c r="J23" s="52">
        <f t="shared" si="2"/>
        <v>0.73872675987918457</v>
      </c>
      <c r="K23" s="52">
        <f t="shared" si="2"/>
        <v>0.15130514433321263</v>
      </c>
      <c r="L23" s="52">
        <f t="shared" si="2"/>
        <v>1.347465856790625</v>
      </c>
      <c r="M23" s="52">
        <f t="shared" si="2"/>
        <v>0.67862189450387089</v>
      </c>
      <c r="N23" s="52">
        <f t="shared" si="2"/>
        <v>0</v>
      </c>
      <c r="O23" s="52">
        <f t="shared" si="2"/>
        <v>0</v>
      </c>
      <c r="P23" s="52">
        <f t="shared" si="2"/>
        <v>0</v>
      </c>
      <c r="Q23" s="52">
        <f t="shared" si="2"/>
        <v>0</v>
      </c>
      <c r="R23" s="52">
        <f t="shared" si="2"/>
        <v>0</v>
      </c>
      <c r="S23" s="52">
        <f t="shared" si="2"/>
        <v>0</v>
      </c>
      <c r="U23" s="52">
        <f>U21/U12</f>
        <v>0.38710372119561731</v>
      </c>
    </row>
  </sheetData>
  <mergeCells count="7">
    <mergeCell ref="B21:C21"/>
    <mergeCell ref="B23:C23"/>
    <mergeCell ref="E7:F7"/>
    <mergeCell ref="B9:C9"/>
    <mergeCell ref="B12:C12"/>
    <mergeCell ref="E16:F16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Resumo</vt:lpstr>
      <vt:lpstr>HSI</vt:lpstr>
      <vt:lpstr>Pupileira</vt:lpstr>
      <vt:lpstr>Anexo HSI</vt:lpstr>
      <vt:lpstr>HMS</vt:lpstr>
      <vt:lpstr>Curativos Especiais</vt:lpstr>
      <vt:lpstr>Casa de Apoio Solange Fraga</vt:lpstr>
      <vt:lpstr>Infanto Juvenil</vt:lpstr>
      <vt:lpstr>Casa Lad.7</vt:lpstr>
      <vt:lpstr>Clínica Rio Vermelho</vt:lpstr>
      <vt:lpstr>Clínica Ondina</vt:lpstr>
      <vt:lpstr>CCS 01</vt:lpstr>
      <vt:lpstr>CCS 02</vt:lpstr>
      <vt:lpstr>Museu da Misericórdia</vt:lpstr>
      <vt:lpstr>Cuidado Continuo</vt:lpstr>
      <vt:lpstr>Posto de Coleta</vt:lpstr>
      <vt:lpstr>CAF</vt:lpstr>
      <vt:lpstr>CAL</vt:lpstr>
      <vt:lpstr>Casa Azul</vt:lpstr>
      <vt:lpstr>CEI C.R</vt:lpstr>
      <vt:lpstr>CER II</vt:lpstr>
      <vt:lpstr>CEI S.A</vt:lpstr>
      <vt:lpstr>CEI S.F</vt:lpstr>
      <vt:lpstr>CEI S.G</vt:lpstr>
      <vt:lpstr>AVANÇAR</vt:lpstr>
      <vt:lpstr>CEI C.M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Pedro Reis dos Santos</dc:creator>
  <dc:description/>
  <cp:lastModifiedBy>Joao Pedro Reis dos Santos</cp:lastModifiedBy>
  <cp:revision>16</cp:revision>
  <dcterms:created xsi:type="dcterms:W3CDTF">2026-02-19T17:31:54Z</dcterms:created>
  <dcterms:modified xsi:type="dcterms:W3CDTF">2026-07-17T11:12:30Z</dcterms:modified>
  <dc:language>pt-BR</dc:language>
</cp:coreProperties>
</file>